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spections" sheetId="2" state="visible" r:id="rId2"/>
    <sheet name="Thresholds" sheetId="3" state="visible" r:id="rId3"/>
    <sheet name="Fleet Summary" sheetId="4" state="visible" r:id="rId4"/>
  </sheets>
  <definedNames>
    <definedName name="_xlnm._FilterDatabase" localSheetId="1" hidden="1">'Inspections'!$A$1:$Y$500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color rgb="000000FF"/>
      <sz val="10"/>
    </font>
    <font>
      <name val="Arial"/>
      <i val="1"/>
      <color rgb="00595959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/>
    </xf>
    <xf numFmtId="2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0" fontId="1" fillId="0" borderId="0" pivotButton="0" quotePrefix="0" xfId="0"/>
    <xf numFmtId="0" fontId="8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6" fillId="3" borderId="1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3" fontId="2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006100"/>
        <sz val="1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2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Scotia Tire - Truck Tire Tread Depth Inspection Template</t>
        </is>
      </c>
    </row>
    <row r="2">
      <c r="A2" s="2" t="inlineStr"/>
    </row>
    <row r="3">
      <c r="A3" s="3" t="inlineStr">
        <is>
          <t>WHAT THIS FILE IS</t>
        </is>
      </c>
    </row>
    <row r="4">
      <c r="A4" s="2" t="inlineStr">
        <is>
          <t>A Google Sheets / Excel workbook for collecting truck tire tread-depth inspections captured by the Scotia Tire iPhone/web app, and for turning them into a per-unit fleet action list.</t>
        </is>
      </c>
    </row>
    <row r="5">
      <c r="A5" s="2" t="inlineStr"/>
    </row>
    <row r="6">
      <c r="A6" s="3" t="inlineStr">
        <is>
          <t>HOW TO USE IT</t>
        </is>
      </c>
    </row>
    <row r="7">
      <c r="A7" s="2" t="inlineStr">
        <is>
          <t>1. Upload this .xlsx to Google Drive.</t>
        </is>
      </c>
    </row>
    <row r="8">
      <c r="A8" s="2" t="inlineStr">
        <is>
          <t>2. Right-click it in Drive and choose Open with &gt; Google Sheets. Then File &gt; Save as Google Sheets so formulas and formatting are kept in a live Sheet.</t>
        </is>
      </c>
    </row>
    <row r="9">
      <c r="A9" s="2" t="inlineStr">
        <is>
          <t>3. Open the Inspections tab and DELETE the yellow EXAMPLE row (row 2). It exists only to show the expected format.</t>
        </is>
      </c>
    </row>
    <row r="10">
      <c r="A10" s="2" t="inlineStr">
        <is>
          <t>4. Export the inspection CSV from the app, then in the Inspections tab choose File &gt; Import &gt; Upload &gt; select the CSV &gt; Import location: "Append to current sheet" &gt; Separator type: Comma &gt; Import data. The CSV columns are already in the same order as row 1.</t>
        </is>
      </c>
    </row>
    <row r="11">
      <c r="A11" s="2" t="inlineStr">
        <is>
          <t>5. On the Fleet Summary tab, type a unit number into each yellow cell in column A. Every other column fills in automatically from the Inspections data.</t>
        </is>
      </c>
    </row>
    <row r="12">
      <c r="A12" s="2" t="inlineStr">
        <is>
          <t>6. On the Thresholds tab, adjust the yellow legal-minimum cells only if the governing standard changes.</t>
        </is>
      </c>
    </row>
    <row r="13">
      <c r="A13" s="2" t="inlineStr"/>
    </row>
    <row r="14">
      <c r="A14" s="3" t="inlineStr">
        <is>
          <t>CELL COLOUR LEGEND</t>
        </is>
      </c>
    </row>
    <row r="15">
      <c r="A15" s="2" t="inlineStr">
        <is>
          <t>Yellow fill with blue text = a cell YOU type into (unit numbers, thresholds).</t>
        </is>
      </c>
    </row>
    <row r="16">
      <c r="A16" s="2" t="inlineStr">
        <is>
          <t>White cells with black text = formulas or imported data. Do not overwrite them.</t>
        </is>
      </c>
    </row>
    <row r="17">
      <c r="A17" s="2" t="inlineStr">
        <is>
          <t>Dark navy row = column headers. Keep them exactly as-is or the CSV append will misalign.</t>
        </is>
      </c>
    </row>
    <row r="18">
      <c r="A18" s="2" t="inlineStr"/>
    </row>
    <row r="19">
      <c r="A19" s="3" t="inlineStr">
        <is>
          <t>COLUMN MEANINGS (Inspections tab, one row per tire)</t>
        </is>
      </c>
    </row>
    <row r="20">
      <c r="A20" s="2" t="inlineStr">
        <is>
          <t>inspection_id - unique id issued by the app for this tire reading.</t>
        </is>
      </c>
    </row>
    <row r="21">
      <c r="A21" s="2" t="inlineStr">
        <is>
          <t>date - ISO 8601 timestamp of the reading, e.g. 2026-09-08T14:32:00.</t>
        </is>
      </c>
    </row>
    <row r="22">
      <c r="A22" s="2" t="inlineStr">
        <is>
          <t>technician - person who performed the inspection.</t>
        </is>
      </c>
    </row>
    <row r="23">
      <c r="A23" s="2" t="inlineStr">
        <is>
          <t>customer - fleet/customer name.</t>
        </is>
      </c>
    </row>
    <row r="24">
      <c r="A24" s="2" t="inlineStr">
        <is>
          <t>unit_number - the truck or trailer unit number. This is the key the Fleet Summary tab looks up.</t>
        </is>
      </c>
    </row>
    <row r="25">
      <c r="A25" s="2" t="inlineStr">
        <is>
          <t>plate / vin - vehicle plate and VIN.</t>
        </is>
      </c>
    </row>
    <row r="26">
      <c r="A26" s="2" t="inlineStr">
        <is>
          <t>odometer - odometer reading in km at time of inspection.</t>
        </is>
      </c>
    </row>
    <row r="27">
      <c r="A27" s="2" t="inlineStr">
        <is>
          <t>axle_config - axle configuration, e.g. 6x4.</t>
        </is>
      </c>
    </row>
    <row r="28">
      <c r="A28" s="2" t="inlineStr">
        <is>
          <t>position - TMC wheel position code: LF/RF are the steer tires; L2O, L2I, LRO, LRI etc. are the drive and trailer positions (O = outer, I = inner).</t>
        </is>
      </c>
    </row>
    <row r="29">
      <c r="A29" s="2" t="inlineStr">
        <is>
          <t>brand / model / size - tire make, model and size, e.g. Michelin XZE2+ 11R22.5.</t>
        </is>
      </c>
    </row>
    <row r="30">
      <c r="A30" s="2" t="inlineStr">
        <is>
          <t>dot_code - DOT week/year code from the sidewall.</t>
        </is>
      </c>
    </row>
    <row r="31">
      <c r="A31" s="2" t="inlineStr">
        <is>
          <t>depth_inner_32nds / depth_centre_32nds / depth_outer_32nds - the three tread measurements across the face of the tire, in 32nds of an inch.</t>
        </is>
      </c>
    </row>
    <row r="32">
      <c r="A32" s="2" t="inlineStr">
        <is>
          <t>depth_min_32nds - the shallowest of those three readings; this is what is compared against the legal minimum.</t>
        </is>
      </c>
    </row>
    <row r="33">
      <c r="A33" s="2" t="inlineStr">
        <is>
          <t>depth_min_mm - the same minimum expressed in millimetres (1/32 in = 0.79375 mm).</t>
        </is>
      </c>
    </row>
    <row r="34">
      <c r="A34" s="2" t="inlineStr">
        <is>
          <t>pressure_psi - cold inflation pressure.</t>
        </is>
      </c>
    </row>
    <row r="35">
      <c r="A35" s="2" t="inlineStr">
        <is>
          <t>status - OK, WATCH or REPLACE (see thresholds below).</t>
        </is>
      </c>
    </row>
    <row r="36">
      <c r="A36" s="2" t="inlineStr">
        <is>
          <t>method - how the depth was obtained: scan (app camera/depth scan), gauge (tread depth gauge) or manual (typed in).</t>
        </is>
      </c>
    </row>
    <row r="37">
      <c r="A37" s="2" t="inlineStr">
        <is>
          <t>photo_url - link to the captured tire photo.</t>
        </is>
      </c>
    </row>
    <row r="38">
      <c r="A38" s="2" t="inlineStr">
        <is>
          <t>notes - free text.</t>
        </is>
      </c>
    </row>
    <row r="39">
      <c r="A39" s="2" t="inlineStr">
        <is>
          <t>scan_confidence_32nds - the app's estimated measurement uncertainty, in 32nds. Higher means the scan is less certain; re-check with a gauge when it is large.</t>
        </is>
      </c>
    </row>
    <row r="40">
      <c r="A40" s="2" t="inlineStr"/>
    </row>
    <row r="41">
      <c r="A41" s="3" t="inlineStr">
        <is>
          <t>THRESHOLDS AND STATUS</t>
        </is>
      </c>
    </row>
    <row r="42">
      <c r="A42" s="2" t="inlineStr">
        <is>
          <t>REPLACE - depth_min_32nds is at or below the legal minimum for that wheel position.</t>
        </is>
      </c>
    </row>
    <row r="43">
      <c r="A43" s="2" t="inlineStr">
        <is>
          <t>WATCH   - depth_min_32nds is above the legal minimum but within the watch band (2/32) of it.</t>
        </is>
      </c>
    </row>
    <row r="44">
      <c r="A44" s="2" t="inlineStr">
        <is>
          <t>OK      - everything else.</t>
        </is>
      </c>
    </row>
    <row r="45">
      <c r="A45" s="2" t="inlineStr">
        <is>
          <t>Legal minimum tread depth is 4/32 in on steer tires (positions LF and RF) and 2/32 in on all drive and trailer positions.</t>
        </is>
      </c>
    </row>
    <row r="46">
      <c r="A46" s="2" t="inlineStr">
        <is>
          <t>Source: Canada National Safety Code (NSC) Standard 11 - Periodic Motor Vehicle Inspection, tire tread depth requirements; and United States FMCSA 49 CFR 393.75(b)-(c). The editable values live on the Thresholds tab.</t>
        </is>
      </c>
    </row>
    <row r="47">
      <c r="A47" s="2" t="inlineStr"/>
    </row>
    <row r="48">
      <c r="A48" s="3" t="inlineStr">
        <is>
          <t>REGENERATING THIS FILE</t>
        </is>
      </c>
    </row>
    <row r="49">
      <c r="A49" s="2" t="inlineStr">
        <is>
          <t>This workbook is generated by build_template.py in the same folder: run `python3 build_template.py`, then recalculate it with LibreOffice so cached formula values are stored. See README.md.</t>
        </is>
      </c>
    </row>
    <row r="50">
      <c r="A50" s="2" t="inlineStr"/>
    </row>
    <row r="51">
      <c r="A51" s="3" t="inlineStr">
        <is>
          <t>RANGE LIMIT</t>
        </is>
      </c>
    </row>
    <row r="52">
      <c r="A52" s="2" t="inlineStr">
        <is>
          <t>All Fleet Summary formulas read Inspections rows 2 to 500. If you append more than 499 inspection rows, edit the formulas and extend 500 to a larger row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8" customWidth="1" min="4" max="4"/>
    <col width="12" customWidth="1" min="5" max="5"/>
    <col width="10" customWidth="1" min="6" max="6"/>
    <col width="20" customWidth="1" min="7" max="7"/>
    <col width="11" customWidth="1" min="8" max="8"/>
    <col width="12" customWidth="1" min="9" max="9"/>
    <col width="9" customWidth="1" min="10" max="10"/>
    <col width="12" customWidth="1" min="11" max="11"/>
    <col width="16" customWidth="1" min="12" max="12"/>
    <col width="12" customWidth="1" min="13" max="13"/>
    <col width="13" customWidth="1" min="14" max="14"/>
    <col width="16" customWidth="1" min="15" max="15"/>
    <col width="17" customWidth="1" min="16" max="16"/>
    <col width="16" customWidth="1" min="17" max="17"/>
    <col width="15" customWidth="1" min="18" max="18"/>
    <col width="13" customWidth="1" min="19" max="19"/>
    <col width="12" customWidth="1" min="20" max="20"/>
    <col width="10" customWidth="1" min="21" max="21"/>
    <col width="9" customWidth="1" min="22" max="22"/>
    <col width="24" customWidth="1" min="23" max="23"/>
    <col width="44" customWidth="1" min="24" max="24"/>
    <col width="20" customWidth="1" min="25" max="25"/>
  </cols>
  <sheetData>
    <row r="1" ht="30" customHeight="1">
      <c r="A1" s="4" t="inlineStr">
        <is>
          <t>inspection_id</t>
        </is>
      </c>
      <c r="B1" s="4" t="inlineStr">
        <is>
          <t>date</t>
        </is>
      </c>
      <c r="C1" s="4" t="inlineStr">
        <is>
          <t>technician</t>
        </is>
      </c>
      <c r="D1" s="4" t="inlineStr">
        <is>
          <t>customer</t>
        </is>
      </c>
      <c r="E1" s="4" t="inlineStr">
        <is>
          <t>unit_number</t>
        </is>
      </c>
      <c r="F1" s="4" t="inlineStr">
        <is>
          <t>plate</t>
        </is>
      </c>
      <c r="G1" s="4" t="inlineStr">
        <is>
          <t>vin</t>
        </is>
      </c>
      <c r="H1" s="4" t="inlineStr">
        <is>
          <t>odometer</t>
        </is>
      </c>
      <c r="I1" s="4" t="inlineStr">
        <is>
          <t>axle_config</t>
        </is>
      </c>
      <c r="J1" s="4" t="inlineStr">
        <is>
          <t>position</t>
        </is>
      </c>
      <c r="K1" s="4" t="inlineStr">
        <is>
          <t>brand</t>
        </is>
      </c>
      <c r="L1" s="4" t="inlineStr">
        <is>
          <t>model</t>
        </is>
      </c>
      <c r="M1" s="4" t="inlineStr">
        <is>
          <t>size</t>
        </is>
      </c>
      <c r="N1" s="4" t="inlineStr">
        <is>
          <t>dot_code</t>
        </is>
      </c>
      <c r="O1" s="4" t="inlineStr">
        <is>
          <t>depth_inner_32nds</t>
        </is>
      </c>
      <c r="P1" s="4" t="inlineStr">
        <is>
          <t>depth_centre_32nds</t>
        </is>
      </c>
      <c r="Q1" s="4" t="inlineStr">
        <is>
          <t>depth_outer_32nds</t>
        </is>
      </c>
      <c r="R1" s="4" t="inlineStr">
        <is>
          <t>depth_min_32nds</t>
        </is>
      </c>
      <c r="S1" s="4" t="inlineStr">
        <is>
          <t>depth_min_mm</t>
        </is>
      </c>
      <c r="T1" s="4" t="inlineStr">
        <is>
          <t>pressure_psi</t>
        </is>
      </c>
      <c r="U1" s="4" t="inlineStr">
        <is>
          <t>status</t>
        </is>
      </c>
      <c r="V1" s="4" t="inlineStr">
        <is>
          <t>method</t>
        </is>
      </c>
      <c r="W1" s="4" t="inlineStr">
        <is>
          <t>photo_url</t>
        </is>
      </c>
      <c r="X1" s="4" t="inlineStr">
        <is>
          <t>notes</t>
        </is>
      </c>
      <c r="Y1" s="4" t="inlineStr">
        <is>
          <t>scan_confidence_32nds</t>
        </is>
      </c>
    </row>
    <row r="2">
      <c r="A2" s="5" t="inlineStr">
        <is>
          <t>INSP-000001</t>
        </is>
      </c>
      <c r="B2" s="5" t="inlineStr">
        <is>
          <t>2026-09-08T14:32:00</t>
        </is>
      </c>
      <c r="C2" s="5" t="inlineStr">
        <is>
          <t>M. Francis</t>
        </is>
      </c>
      <c r="D2" s="5" t="inlineStr">
        <is>
          <t>Acme Freight</t>
        </is>
      </c>
      <c r="E2" s="5" t="n">
        <v>42</v>
      </c>
      <c r="F2" s="5" t="inlineStr">
        <is>
          <t>AB12345</t>
        </is>
      </c>
      <c r="G2" s="5" t="inlineStr">
        <is>
          <t>1FUJGLDR8CLBP1234</t>
        </is>
      </c>
      <c r="H2" s="5" t="n">
        <v>412305</v>
      </c>
      <c r="I2" s="5" t="inlineStr">
        <is>
          <t>6x4</t>
        </is>
      </c>
      <c r="J2" s="5" t="inlineStr">
        <is>
          <t>LF</t>
        </is>
      </c>
      <c r="K2" s="5" t="inlineStr">
        <is>
          <t>Michelin</t>
        </is>
      </c>
      <c r="L2" s="5" t="inlineStr">
        <is>
          <t>XZE2+</t>
        </is>
      </c>
      <c r="M2" s="5" t="inlineStr">
        <is>
          <t>11R22.5</t>
        </is>
      </c>
      <c r="N2" s="5" t="inlineStr">
        <is>
          <t>3117</t>
        </is>
      </c>
      <c r="O2" s="5" t="n">
        <v>6</v>
      </c>
      <c r="P2" s="5" t="n">
        <v>5</v>
      </c>
      <c r="Q2" s="5" t="n">
        <v>7</v>
      </c>
      <c r="R2" s="5" t="n">
        <v>5</v>
      </c>
      <c r="S2" s="6" t="n">
        <v>3.97</v>
      </c>
      <c r="T2" s="5" t="n">
        <v>105</v>
      </c>
      <c r="U2" s="5" t="inlineStr">
        <is>
          <t>WATCH</t>
        </is>
      </c>
      <c r="V2" s="5" t="inlineStr">
        <is>
          <t>gauge</t>
        </is>
      </c>
      <c r="W2" s="5" t="inlineStr">
        <is>
          <t>https://example.com/photos/insp-000001.jpg</t>
        </is>
      </c>
      <c r="X2" s="5" t="inlineStr">
        <is>
          <t>EXAMPLE ROW - delete this row before entering real data.</t>
        </is>
      </c>
      <c r="Y2" s="7" t="n">
        <v>0.5</v>
      </c>
    </row>
  </sheetData>
  <autoFilter ref="A1:Y500"/>
  <conditionalFormatting sqref="U2:U500">
    <cfRule type="cellIs" priority="1" operator="equal" dxfId="0">
      <formula>"REPLACE"</formula>
    </cfRule>
    <cfRule type="cellIs" priority="2" operator="equal" dxfId="1">
      <formula>"WATCH"</formula>
    </cfRule>
    <cfRule type="cellIs" priority="3" operator="equal" dxfId="2">
      <formula>"OK"</formula>
    </cfRule>
  </conditionalFormatting>
  <dataValidations count="2">
    <dataValidation sqref="U3:U500" showDropDown="0" showInputMessage="0" showErrorMessage="0" allowBlank="1" type="list">
      <formula1>"OK,WATCH,REPLACE"</formula1>
    </dataValidation>
    <dataValidation sqref="V3:V500" showDropDown="0" showInputMessage="0" showErrorMessage="0" allowBlank="1" type="list">
      <formula1>"scan,gauge,manual"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92" customWidth="1" min="3" max="3"/>
  </cols>
  <sheetData>
    <row r="1">
      <c r="A1" s="8" t="inlineStr">
        <is>
          <t>Tread Depth Thresholds (editable inputs)</t>
        </is>
      </c>
      <c r="B1" s="9" t="n"/>
      <c r="C1" s="9" t="n"/>
    </row>
    <row r="2">
      <c r="A2" s="9" t="n"/>
      <c r="B2" s="9" t="n"/>
      <c r="C2" s="9" t="n"/>
    </row>
    <row r="3">
      <c r="A3" s="10" t="inlineStr">
        <is>
          <t>Setting</t>
        </is>
      </c>
      <c r="B3" s="10" t="inlineStr">
        <is>
          <t>Value (32nds)</t>
        </is>
      </c>
      <c r="C3" s="10" t="inlineStr">
        <is>
          <t>Note</t>
        </is>
      </c>
    </row>
    <row r="4" ht="46" customHeight="1">
      <c r="A4" s="11" t="inlineStr">
        <is>
          <t>Steer tire legal minimum</t>
        </is>
      </c>
      <c r="B4" s="12" t="n">
        <v>4</v>
      </c>
      <c r="C4" s="13" t="inlineStr">
        <is>
          <t>Minimum legal tread depth for steer-axle tires (TMC positions LF and RF). At or below this value the tire is out of service. Source: Canada NSC Standard 11; US FMCSA 49 CFR 393.75(b) (4/32 in on steering axle tires).</t>
        </is>
      </c>
    </row>
    <row r="5" ht="46" customHeight="1">
      <c r="A5" s="11" t="inlineStr">
        <is>
          <t>Drive / trailer legal minimum</t>
        </is>
      </c>
      <c r="B5" s="12" t="n">
        <v>2</v>
      </c>
      <c r="C5" s="13" t="inlineStr">
        <is>
          <t>Minimum legal tread depth for all non-steer positions (drive and trailer axles, e.g. L2O, L2I, LRO, LRI). Source: Canada NSC Standard 11; US FMCSA 49 CFR 393.75(c) (2/32 in on all other tires).</t>
        </is>
      </c>
    </row>
    <row r="6" ht="46" customHeight="1">
      <c r="A6" s="11" t="inlineStr">
        <is>
          <t>Watch band above minimum</t>
        </is>
      </c>
      <c r="B6" s="12" t="n">
        <v>2</v>
      </c>
      <c r="C6" s="13" t="inlineStr">
        <is>
          <t>A tire whose depth_min_32nds is above the legal minimum but within this many 32nds of it is flagged WATCH, so it can be scheduled before it becomes a REPLACE.</t>
        </is>
      </c>
    </row>
    <row r="7">
      <c r="A7" s="9" t="n"/>
      <c r="B7" s="9" t="n"/>
      <c r="C7" s="9" t="n"/>
    </row>
    <row r="8">
      <c r="A8" s="9" t="n"/>
      <c r="B8" s="9" t="n"/>
      <c r="C8" s="9" t="n"/>
    </row>
    <row r="9">
      <c r="A9" s="14" t="inlineStr">
        <is>
          <t>Yellow cells with blue text are inputs - edit these. Depths are in 32nds of an inch (1/32 in = 0.79375 mm). status in the Inspections tab is set by the app using these rules: REPLACE at or below the minimum, WATCH within the watch band above it, otherwise OK.</t>
        </is>
      </c>
      <c r="B9" s="9" t="n"/>
      <c r="C9" s="9" t="n"/>
    </row>
    <row r="10">
      <c r="A10" s="9" t="n"/>
      <c r="B10" s="9" t="n"/>
      <c r="C10" s="9" t="n"/>
    </row>
  </sheetData>
  <mergeCells count="1">
    <mergeCell ref="A9:C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15" customWidth="1" min="4" max="4"/>
    <col width="15" customWidth="1" min="5" max="5"/>
    <col width="11" customWidth="1" min="6" max="6"/>
    <col width="11" customWidth="1" min="7" max="7"/>
    <col width="9" customWidth="1" min="8" max="8"/>
    <col width="20" customWidth="1" min="9" max="9"/>
    <col width="18" customWidth="1" min="10" max="10"/>
    <col width="42" customWidth="1" min="11" max="11"/>
  </cols>
  <sheetData>
    <row r="1">
      <c r="A1" s="8" t="inlineStr">
        <is>
          <t>Fleet Summary - latest inspection per unit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26" customHeight="1">
      <c r="A2" s="14" t="inlineStr">
        <is>
          <t>Type a unit number into each yellow cell in column A. Every other column is a formula reading the Inspections tab; all counts use ONLY that unit's most recent inspection date.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2" customHeight="1">
      <c r="A4" s="4" t="inlineStr">
        <is>
          <t>Unit #</t>
        </is>
      </c>
      <c r="B4" s="4" t="inlineStr">
        <is>
          <t>Customer</t>
        </is>
      </c>
      <c r="C4" s="4" t="inlineStr">
        <is>
          <t>Last inspection date</t>
        </is>
      </c>
      <c r="D4" s="4" t="inlineStr">
        <is>
          <t>Last odometer</t>
        </is>
      </c>
      <c r="E4" s="4" t="inlineStr">
        <is>
          <t>Tires inspected</t>
        </is>
      </c>
      <c r="F4" s="4" t="inlineStr">
        <is>
          <t>REPLACE</t>
        </is>
      </c>
      <c r="G4" s="4" t="inlineStr">
        <is>
          <t>WATCH</t>
        </is>
      </c>
      <c r="H4" s="4" t="inlineStr">
        <is>
          <t>OK</t>
        </is>
      </c>
      <c r="I4" s="4" t="inlineStr">
        <is>
          <t>Lowest tread (32nds)</t>
        </is>
      </c>
      <c r="J4" s="4" t="inlineStr">
        <is>
          <t>Position of lowest</t>
        </is>
      </c>
      <c r="K4" s="4" t="inlineStr">
        <is>
          <t>Action</t>
        </is>
      </c>
    </row>
    <row r="5">
      <c r="A5" s="15" t="n">
        <v>42</v>
      </c>
      <c r="B5" s="11">
        <f>IF($A5="","",IFERROR(INDEX(Inspections!$D$2:$D$500,SUMPRODUCT(MAX((Inspections!$E$2:$E$500=$A5)*(LEFT(Inspections!$B$2:$B$500,10)=$C5)*(ROW(Inspections!$B$2:$B$500)-1)))),""))</f>
        <v/>
      </c>
      <c r="C5" s="16">
        <f>IF($A5="","",IF(COUNTIFS(Inspections!$E$2:$E$500,$A5)=0,"",IFERROR(TEXT(SUMPRODUCT(MAX((Inspections!$E$2:$E$500=$A5)*IFERROR(DATEVALUE(LEFT(Inspections!$B$2:$B$500,10)),0))),"YYYY-MM-DD"),"")))</f>
        <v/>
      </c>
      <c r="D5" s="17">
        <f>IF($C5="","",IFERROR(INDEX(Inspections!$H$2:$H$500,SUMPRODUCT(MAX((Inspections!$E$2:$E$500=$A5)*(LEFT(Inspections!$B$2:$B$500,10)=$C5)*(ROW(Inspections!$B$2:$B$500)-1)))),""))</f>
        <v/>
      </c>
      <c r="E5" s="16">
        <f>IF($C5="","",COUNTIFS(Inspections!$E$2:$E$500,$A5,Inspections!$B$2:$B$500,($C5&amp;"*")))</f>
        <v/>
      </c>
      <c r="F5" s="16">
        <f>IF($C5="","",COUNTIFS(Inspections!$E$2:$E$500,$A5,Inspections!$B$2:$B$500,($C5&amp;"*"),Inspections!$U$2:$U$500,"REPLACE"))</f>
        <v/>
      </c>
      <c r="G5" s="16">
        <f>IF($C5="","",COUNTIFS(Inspections!$E$2:$E$500,$A5,Inspections!$B$2:$B$500,($C5&amp;"*"),Inspections!$U$2:$U$500,"WATCH"))</f>
        <v/>
      </c>
      <c r="H5" s="16">
        <f>IF($C5="","",COUNTIFS(Inspections!$E$2:$E$500,$A5,Inspections!$B$2:$B$500,($C5&amp;"*"),Inspections!$U$2:$U$500,"OK"))</f>
        <v/>
      </c>
      <c r="I5" s="16">
        <f>IF($C5="","",IFERROR(_xlfn.MINIFS(Inspections!$R$2:$R$500,Inspections!$E$2:$E$500,$A5,Inspections!$B$2:$B$500,($C5&amp;"*")),""))</f>
        <v/>
      </c>
      <c r="J5" s="16">
        <f>IF($I5="","",IFERROR(INDEX(Inspections!$J$2:$J$500,SUMPRODUCT(MAX((Inspections!$E$2:$E$500=$A5)*(LEFT(Inspections!$B$2:$B$500,10)=$C5)*(Inspections!$R$2:$R$500=$I5)*(ROW(Inspections!$B$2:$B$500)-1)))),""))</f>
        <v/>
      </c>
      <c r="K5" s="11">
        <f>IF($C5="","",IF($F5&gt;0,"Replace "&amp;$F5&amp;" tire(s) now",IF($G5&gt;0,"Schedule: "&amp;$G5&amp;" tire(s) near minimum","OK")))</f>
        <v/>
      </c>
    </row>
    <row r="6">
      <c r="A6" s="15" t="n"/>
      <c r="B6" s="11">
        <f>IF($A6="","",IFERROR(INDEX(Inspections!$D$2:$D$500,SUMPRODUCT(MAX((Inspections!$E$2:$E$500=$A6)*(LEFT(Inspections!$B$2:$B$500,10)=$C6)*(ROW(Inspections!$B$2:$B$500)-1)))),""))</f>
        <v/>
      </c>
      <c r="C6" s="16">
        <f>IF($A6="","",IF(COUNTIFS(Inspections!$E$2:$E$500,$A6)=0,"",IFERROR(TEXT(SUMPRODUCT(MAX((Inspections!$E$2:$E$500=$A6)*IFERROR(DATEVALUE(LEFT(Inspections!$B$2:$B$500,10)),0))),"YYYY-MM-DD"),"")))</f>
        <v/>
      </c>
      <c r="D6" s="17">
        <f>IF($C6="","",IFERROR(INDEX(Inspections!$H$2:$H$500,SUMPRODUCT(MAX((Inspections!$E$2:$E$500=$A6)*(LEFT(Inspections!$B$2:$B$500,10)=$C6)*(ROW(Inspections!$B$2:$B$500)-1)))),""))</f>
        <v/>
      </c>
      <c r="E6" s="16">
        <f>IF($C6="","",COUNTIFS(Inspections!$E$2:$E$500,$A6,Inspections!$B$2:$B$500,($C6&amp;"*")))</f>
        <v/>
      </c>
      <c r="F6" s="16">
        <f>IF($C6="","",COUNTIFS(Inspections!$E$2:$E$500,$A6,Inspections!$B$2:$B$500,($C6&amp;"*"),Inspections!$U$2:$U$500,"REPLACE"))</f>
        <v/>
      </c>
      <c r="G6" s="16">
        <f>IF($C6="","",COUNTIFS(Inspections!$E$2:$E$500,$A6,Inspections!$B$2:$B$500,($C6&amp;"*"),Inspections!$U$2:$U$500,"WATCH"))</f>
        <v/>
      </c>
      <c r="H6" s="16">
        <f>IF($C6="","",COUNTIFS(Inspections!$E$2:$E$500,$A6,Inspections!$B$2:$B$500,($C6&amp;"*"),Inspections!$U$2:$U$500,"OK"))</f>
        <v/>
      </c>
      <c r="I6" s="16">
        <f>IF($C6="","",IFERROR(_xlfn.MINIFS(Inspections!$R$2:$R$500,Inspections!$E$2:$E$500,$A6,Inspections!$B$2:$B$500,($C6&amp;"*")),""))</f>
        <v/>
      </c>
      <c r="J6" s="16">
        <f>IF($I6="","",IFERROR(INDEX(Inspections!$J$2:$J$500,SUMPRODUCT(MAX((Inspections!$E$2:$E$500=$A6)*(LEFT(Inspections!$B$2:$B$500,10)=$C6)*(Inspections!$R$2:$R$500=$I6)*(ROW(Inspections!$B$2:$B$500)-1)))),""))</f>
        <v/>
      </c>
      <c r="K6" s="11">
        <f>IF($C6="","",IF($F6&gt;0,"Replace "&amp;$F6&amp;" tire(s) now",IF($G6&gt;0,"Schedule: "&amp;$G6&amp;" tire(s) near minimum","OK")))</f>
        <v/>
      </c>
    </row>
    <row r="7">
      <c r="A7" s="15" t="n"/>
      <c r="B7" s="11">
        <f>IF($A7="","",IFERROR(INDEX(Inspections!$D$2:$D$500,SUMPRODUCT(MAX((Inspections!$E$2:$E$500=$A7)*(LEFT(Inspections!$B$2:$B$500,10)=$C7)*(ROW(Inspections!$B$2:$B$500)-1)))),""))</f>
        <v/>
      </c>
      <c r="C7" s="16">
        <f>IF($A7="","",IF(COUNTIFS(Inspections!$E$2:$E$500,$A7)=0,"",IFERROR(TEXT(SUMPRODUCT(MAX((Inspections!$E$2:$E$500=$A7)*IFERROR(DATEVALUE(LEFT(Inspections!$B$2:$B$500,10)),0))),"YYYY-MM-DD"),"")))</f>
        <v/>
      </c>
      <c r="D7" s="17">
        <f>IF($C7="","",IFERROR(INDEX(Inspections!$H$2:$H$500,SUMPRODUCT(MAX((Inspections!$E$2:$E$500=$A7)*(LEFT(Inspections!$B$2:$B$500,10)=$C7)*(ROW(Inspections!$B$2:$B$500)-1)))),""))</f>
        <v/>
      </c>
      <c r="E7" s="16">
        <f>IF($C7="","",COUNTIFS(Inspections!$E$2:$E$500,$A7,Inspections!$B$2:$B$500,($C7&amp;"*")))</f>
        <v/>
      </c>
      <c r="F7" s="16">
        <f>IF($C7="","",COUNTIFS(Inspections!$E$2:$E$500,$A7,Inspections!$B$2:$B$500,($C7&amp;"*"),Inspections!$U$2:$U$500,"REPLACE"))</f>
        <v/>
      </c>
      <c r="G7" s="16">
        <f>IF($C7="","",COUNTIFS(Inspections!$E$2:$E$500,$A7,Inspections!$B$2:$B$500,($C7&amp;"*"),Inspections!$U$2:$U$500,"WATCH"))</f>
        <v/>
      </c>
      <c r="H7" s="16">
        <f>IF($C7="","",COUNTIFS(Inspections!$E$2:$E$500,$A7,Inspections!$B$2:$B$500,($C7&amp;"*"),Inspections!$U$2:$U$500,"OK"))</f>
        <v/>
      </c>
      <c r="I7" s="16">
        <f>IF($C7="","",IFERROR(_xlfn.MINIFS(Inspections!$R$2:$R$500,Inspections!$E$2:$E$500,$A7,Inspections!$B$2:$B$500,($C7&amp;"*")),""))</f>
        <v/>
      </c>
      <c r="J7" s="16">
        <f>IF($I7="","",IFERROR(INDEX(Inspections!$J$2:$J$500,SUMPRODUCT(MAX((Inspections!$E$2:$E$500=$A7)*(LEFT(Inspections!$B$2:$B$500,10)=$C7)*(Inspections!$R$2:$R$500=$I7)*(ROW(Inspections!$B$2:$B$500)-1)))),""))</f>
        <v/>
      </c>
      <c r="K7" s="11">
        <f>IF($C7="","",IF($F7&gt;0,"Replace "&amp;$F7&amp;" tire(s) now",IF($G7&gt;0,"Schedule: "&amp;$G7&amp;" tire(s) near minimum","OK")))</f>
        <v/>
      </c>
    </row>
    <row r="8">
      <c r="A8" s="15" t="n"/>
      <c r="B8" s="11">
        <f>IF($A8="","",IFERROR(INDEX(Inspections!$D$2:$D$500,SUMPRODUCT(MAX((Inspections!$E$2:$E$500=$A8)*(LEFT(Inspections!$B$2:$B$500,10)=$C8)*(ROW(Inspections!$B$2:$B$500)-1)))),""))</f>
        <v/>
      </c>
      <c r="C8" s="16">
        <f>IF($A8="","",IF(COUNTIFS(Inspections!$E$2:$E$500,$A8)=0,"",IFERROR(TEXT(SUMPRODUCT(MAX((Inspections!$E$2:$E$500=$A8)*IFERROR(DATEVALUE(LEFT(Inspections!$B$2:$B$500,10)),0))),"YYYY-MM-DD"),"")))</f>
        <v/>
      </c>
      <c r="D8" s="17">
        <f>IF($C8="","",IFERROR(INDEX(Inspections!$H$2:$H$500,SUMPRODUCT(MAX((Inspections!$E$2:$E$500=$A8)*(LEFT(Inspections!$B$2:$B$500,10)=$C8)*(ROW(Inspections!$B$2:$B$500)-1)))),""))</f>
        <v/>
      </c>
      <c r="E8" s="16">
        <f>IF($C8="","",COUNTIFS(Inspections!$E$2:$E$500,$A8,Inspections!$B$2:$B$500,($C8&amp;"*")))</f>
        <v/>
      </c>
      <c r="F8" s="16">
        <f>IF($C8="","",COUNTIFS(Inspections!$E$2:$E$500,$A8,Inspections!$B$2:$B$500,($C8&amp;"*"),Inspections!$U$2:$U$500,"REPLACE"))</f>
        <v/>
      </c>
      <c r="G8" s="16">
        <f>IF($C8="","",COUNTIFS(Inspections!$E$2:$E$500,$A8,Inspections!$B$2:$B$500,($C8&amp;"*"),Inspections!$U$2:$U$500,"WATCH"))</f>
        <v/>
      </c>
      <c r="H8" s="16">
        <f>IF($C8="","",COUNTIFS(Inspections!$E$2:$E$500,$A8,Inspections!$B$2:$B$500,($C8&amp;"*"),Inspections!$U$2:$U$500,"OK"))</f>
        <v/>
      </c>
      <c r="I8" s="16">
        <f>IF($C8="","",IFERROR(_xlfn.MINIFS(Inspections!$R$2:$R$500,Inspections!$E$2:$E$500,$A8,Inspections!$B$2:$B$500,($C8&amp;"*")),""))</f>
        <v/>
      </c>
      <c r="J8" s="16">
        <f>IF($I8="","",IFERROR(INDEX(Inspections!$J$2:$J$500,SUMPRODUCT(MAX((Inspections!$E$2:$E$500=$A8)*(LEFT(Inspections!$B$2:$B$500,10)=$C8)*(Inspections!$R$2:$R$500=$I8)*(ROW(Inspections!$B$2:$B$500)-1)))),""))</f>
        <v/>
      </c>
      <c r="K8" s="11">
        <f>IF($C8="","",IF($F8&gt;0,"Replace "&amp;$F8&amp;" tire(s) now",IF($G8&gt;0,"Schedule: "&amp;$G8&amp;" tire(s) near minimum","OK")))</f>
        <v/>
      </c>
    </row>
    <row r="9">
      <c r="A9" s="15" t="n"/>
      <c r="B9" s="11">
        <f>IF($A9="","",IFERROR(INDEX(Inspections!$D$2:$D$500,SUMPRODUCT(MAX((Inspections!$E$2:$E$500=$A9)*(LEFT(Inspections!$B$2:$B$500,10)=$C9)*(ROW(Inspections!$B$2:$B$500)-1)))),""))</f>
        <v/>
      </c>
      <c r="C9" s="16">
        <f>IF($A9="","",IF(COUNTIFS(Inspections!$E$2:$E$500,$A9)=0,"",IFERROR(TEXT(SUMPRODUCT(MAX((Inspections!$E$2:$E$500=$A9)*IFERROR(DATEVALUE(LEFT(Inspections!$B$2:$B$500,10)),0))),"YYYY-MM-DD"),"")))</f>
        <v/>
      </c>
      <c r="D9" s="17">
        <f>IF($C9="","",IFERROR(INDEX(Inspections!$H$2:$H$500,SUMPRODUCT(MAX((Inspections!$E$2:$E$500=$A9)*(LEFT(Inspections!$B$2:$B$500,10)=$C9)*(ROW(Inspections!$B$2:$B$500)-1)))),""))</f>
        <v/>
      </c>
      <c r="E9" s="16">
        <f>IF($C9="","",COUNTIFS(Inspections!$E$2:$E$500,$A9,Inspections!$B$2:$B$500,($C9&amp;"*")))</f>
        <v/>
      </c>
      <c r="F9" s="16">
        <f>IF($C9="","",COUNTIFS(Inspections!$E$2:$E$500,$A9,Inspections!$B$2:$B$500,($C9&amp;"*"),Inspections!$U$2:$U$500,"REPLACE"))</f>
        <v/>
      </c>
      <c r="G9" s="16">
        <f>IF($C9="","",COUNTIFS(Inspections!$E$2:$E$500,$A9,Inspections!$B$2:$B$500,($C9&amp;"*"),Inspections!$U$2:$U$500,"WATCH"))</f>
        <v/>
      </c>
      <c r="H9" s="16">
        <f>IF($C9="","",COUNTIFS(Inspections!$E$2:$E$500,$A9,Inspections!$B$2:$B$500,($C9&amp;"*"),Inspections!$U$2:$U$500,"OK"))</f>
        <v/>
      </c>
      <c r="I9" s="16">
        <f>IF($C9="","",IFERROR(_xlfn.MINIFS(Inspections!$R$2:$R$500,Inspections!$E$2:$E$500,$A9,Inspections!$B$2:$B$500,($C9&amp;"*")),""))</f>
        <v/>
      </c>
      <c r="J9" s="16">
        <f>IF($I9="","",IFERROR(INDEX(Inspections!$J$2:$J$500,SUMPRODUCT(MAX((Inspections!$E$2:$E$500=$A9)*(LEFT(Inspections!$B$2:$B$500,10)=$C9)*(Inspections!$R$2:$R$500=$I9)*(ROW(Inspections!$B$2:$B$500)-1)))),""))</f>
        <v/>
      </c>
      <c r="K9" s="11">
        <f>IF($C9="","",IF($F9&gt;0,"Replace "&amp;$F9&amp;" tire(s) now",IF($G9&gt;0,"Schedule: "&amp;$G9&amp;" tire(s) near minimum","OK")))</f>
        <v/>
      </c>
    </row>
    <row r="10">
      <c r="A10" s="15" t="n"/>
      <c r="B10" s="11">
        <f>IF($A10="","",IFERROR(INDEX(Inspections!$D$2:$D$500,SUMPRODUCT(MAX((Inspections!$E$2:$E$500=$A10)*(LEFT(Inspections!$B$2:$B$500,10)=$C10)*(ROW(Inspections!$B$2:$B$500)-1)))),""))</f>
        <v/>
      </c>
      <c r="C10" s="16">
        <f>IF($A10="","",IF(COUNTIFS(Inspections!$E$2:$E$500,$A10)=0,"",IFERROR(TEXT(SUMPRODUCT(MAX((Inspections!$E$2:$E$500=$A10)*IFERROR(DATEVALUE(LEFT(Inspections!$B$2:$B$500,10)),0))),"YYYY-MM-DD"),"")))</f>
        <v/>
      </c>
      <c r="D10" s="17">
        <f>IF($C10="","",IFERROR(INDEX(Inspections!$H$2:$H$500,SUMPRODUCT(MAX((Inspections!$E$2:$E$500=$A10)*(LEFT(Inspections!$B$2:$B$500,10)=$C10)*(ROW(Inspections!$B$2:$B$500)-1)))),""))</f>
        <v/>
      </c>
      <c r="E10" s="16">
        <f>IF($C10="","",COUNTIFS(Inspections!$E$2:$E$500,$A10,Inspections!$B$2:$B$500,($C10&amp;"*")))</f>
        <v/>
      </c>
      <c r="F10" s="16">
        <f>IF($C10="","",COUNTIFS(Inspections!$E$2:$E$500,$A10,Inspections!$B$2:$B$500,($C10&amp;"*"),Inspections!$U$2:$U$500,"REPLACE"))</f>
        <v/>
      </c>
      <c r="G10" s="16">
        <f>IF($C10="","",COUNTIFS(Inspections!$E$2:$E$500,$A10,Inspections!$B$2:$B$500,($C10&amp;"*"),Inspections!$U$2:$U$500,"WATCH"))</f>
        <v/>
      </c>
      <c r="H10" s="16">
        <f>IF($C10="","",COUNTIFS(Inspections!$E$2:$E$500,$A10,Inspections!$B$2:$B$500,($C10&amp;"*"),Inspections!$U$2:$U$500,"OK"))</f>
        <v/>
      </c>
      <c r="I10" s="16">
        <f>IF($C10="","",IFERROR(_xlfn.MINIFS(Inspections!$R$2:$R$500,Inspections!$E$2:$E$500,$A10,Inspections!$B$2:$B$500,($C10&amp;"*")),""))</f>
        <v/>
      </c>
      <c r="J10" s="16">
        <f>IF($I10="","",IFERROR(INDEX(Inspections!$J$2:$J$500,SUMPRODUCT(MAX((Inspections!$E$2:$E$500=$A10)*(LEFT(Inspections!$B$2:$B$500,10)=$C10)*(Inspections!$R$2:$R$500=$I10)*(ROW(Inspections!$B$2:$B$500)-1)))),""))</f>
        <v/>
      </c>
      <c r="K10" s="11">
        <f>IF($C10="","",IF($F10&gt;0,"Replace "&amp;$F10&amp;" tire(s) now",IF($G10&gt;0,"Schedule: "&amp;$G10&amp;" tire(s) near minimum","OK")))</f>
        <v/>
      </c>
    </row>
    <row r="11">
      <c r="A11" s="15" t="n"/>
      <c r="B11" s="11">
        <f>IF($A11="","",IFERROR(INDEX(Inspections!$D$2:$D$500,SUMPRODUCT(MAX((Inspections!$E$2:$E$500=$A11)*(LEFT(Inspections!$B$2:$B$500,10)=$C11)*(ROW(Inspections!$B$2:$B$500)-1)))),""))</f>
        <v/>
      </c>
      <c r="C11" s="16">
        <f>IF($A11="","",IF(COUNTIFS(Inspections!$E$2:$E$500,$A11)=0,"",IFERROR(TEXT(SUMPRODUCT(MAX((Inspections!$E$2:$E$500=$A11)*IFERROR(DATEVALUE(LEFT(Inspections!$B$2:$B$500,10)),0))),"YYYY-MM-DD"),"")))</f>
        <v/>
      </c>
      <c r="D11" s="17">
        <f>IF($C11="","",IFERROR(INDEX(Inspections!$H$2:$H$500,SUMPRODUCT(MAX((Inspections!$E$2:$E$500=$A11)*(LEFT(Inspections!$B$2:$B$500,10)=$C11)*(ROW(Inspections!$B$2:$B$500)-1)))),""))</f>
        <v/>
      </c>
      <c r="E11" s="16">
        <f>IF($C11="","",COUNTIFS(Inspections!$E$2:$E$500,$A11,Inspections!$B$2:$B$500,($C11&amp;"*")))</f>
        <v/>
      </c>
      <c r="F11" s="16">
        <f>IF($C11="","",COUNTIFS(Inspections!$E$2:$E$500,$A11,Inspections!$B$2:$B$500,($C11&amp;"*"),Inspections!$U$2:$U$500,"REPLACE"))</f>
        <v/>
      </c>
      <c r="G11" s="16">
        <f>IF($C11="","",COUNTIFS(Inspections!$E$2:$E$500,$A11,Inspections!$B$2:$B$500,($C11&amp;"*"),Inspections!$U$2:$U$500,"WATCH"))</f>
        <v/>
      </c>
      <c r="H11" s="16">
        <f>IF($C11="","",COUNTIFS(Inspections!$E$2:$E$500,$A11,Inspections!$B$2:$B$500,($C11&amp;"*"),Inspections!$U$2:$U$500,"OK"))</f>
        <v/>
      </c>
      <c r="I11" s="16">
        <f>IF($C11="","",IFERROR(_xlfn.MINIFS(Inspections!$R$2:$R$500,Inspections!$E$2:$E$500,$A11,Inspections!$B$2:$B$500,($C11&amp;"*")),""))</f>
        <v/>
      </c>
      <c r="J11" s="16">
        <f>IF($I11="","",IFERROR(INDEX(Inspections!$J$2:$J$500,SUMPRODUCT(MAX((Inspections!$E$2:$E$500=$A11)*(LEFT(Inspections!$B$2:$B$500,10)=$C11)*(Inspections!$R$2:$R$500=$I11)*(ROW(Inspections!$B$2:$B$500)-1)))),""))</f>
        <v/>
      </c>
      <c r="K11" s="11">
        <f>IF($C11="","",IF($F11&gt;0,"Replace "&amp;$F11&amp;" tire(s) now",IF($G11&gt;0,"Schedule: "&amp;$G11&amp;" tire(s) near minimum","OK")))</f>
        <v/>
      </c>
    </row>
    <row r="12">
      <c r="A12" s="15" t="n"/>
      <c r="B12" s="11">
        <f>IF($A12="","",IFERROR(INDEX(Inspections!$D$2:$D$500,SUMPRODUCT(MAX((Inspections!$E$2:$E$500=$A12)*(LEFT(Inspections!$B$2:$B$500,10)=$C12)*(ROW(Inspections!$B$2:$B$500)-1)))),""))</f>
        <v/>
      </c>
      <c r="C12" s="16">
        <f>IF($A12="","",IF(COUNTIFS(Inspections!$E$2:$E$500,$A12)=0,"",IFERROR(TEXT(SUMPRODUCT(MAX((Inspections!$E$2:$E$500=$A12)*IFERROR(DATEVALUE(LEFT(Inspections!$B$2:$B$500,10)),0))),"YYYY-MM-DD"),"")))</f>
        <v/>
      </c>
      <c r="D12" s="17">
        <f>IF($C12="","",IFERROR(INDEX(Inspections!$H$2:$H$500,SUMPRODUCT(MAX((Inspections!$E$2:$E$500=$A12)*(LEFT(Inspections!$B$2:$B$500,10)=$C12)*(ROW(Inspections!$B$2:$B$500)-1)))),""))</f>
        <v/>
      </c>
      <c r="E12" s="16">
        <f>IF($C12="","",COUNTIFS(Inspections!$E$2:$E$500,$A12,Inspections!$B$2:$B$500,($C12&amp;"*")))</f>
        <v/>
      </c>
      <c r="F12" s="16">
        <f>IF($C12="","",COUNTIFS(Inspections!$E$2:$E$500,$A12,Inspections!$B$2:$B$500,($C12&amp;"*"),Inspections!$U$2:$U$500,"REPLACE"))</f>
        <v/>
      </c>
      <c r="G12" s="16">
        <f>IF($C12="","",COUNTIFS(Inspections!$E$2:$E$500,$A12,Inspections!$B$2:$B$500,($C12&amp;"*"),Inspections!$U$2:$U$500,"WATCH"))</f>
        <v/>
      </c>
      <c r="H12" s="16">
        <f>IF($C12="","",COUNTIFS(Inspections!$E$2:$E$500,$A12,Inspections!$B$2:$B$500,($C12&amp;"*"),Inspections!$U$2:$U$500,"OK"))</f>
        <v/>
      </c>
      <c r="I12" s="16">
        <f>IF($C12="","",IFERROR(_xlfn.MINIFS(Inspections!$R$2:$R$500,Inspections!$E$2:$E$500,$A12,Inspections!$B$2:$B$500,($C12&amp;"*")),""))</f>
        <v/>
      </c>
      <c r="J12" s="16">
        <f>IF($I12="","",IFERROR(INDEX(Inspections!$J$2:$J$500,SUMPRODUCT(MAX((Inspections!$E$2:$E$500=$A12)*(LEFT(Inspections!$B$2:$B$500,10)=$C12)*(Inspections!$R$2:$R$500=$I12)*(ROW(Inspections!$B$2:$B$500)-1)))),""))</f>
        <v/>
      </c>
      <c r="K12" s="11">
        <f>IF($C12="","",IF($F12&gt;0,"Replace "&amp;$F12&amp;" tire(s) now",IF($G12&gt;0,"Schedule: "&amp;$G12&amp;" tire(s) near minimum","OK")))</f>
        <v/>
      </c>
    </row>
    <row r="13">
      <c r="A13" s="15" t="n"/>
      <c r="B13" s="11">
        <f>IF($A13="","",IFERROR(INDEX(Inspections!$D$2:$D$500,SUMPRODUCT(MAX((Inspections!$E$2:$E$500=$A13)*(LEFT(Inspections!$B$2:$B$500,10)=$C13)*(ROW(Inspections!$B$2:$B$500)-1)))),""))</f>
        <v/>
      </c>
      <c r="C13" s="16">
        <f>IF($A13="","",IF(COUNTIFS(Inspections!$E$2:$E$500,$A13)=0,"",IFERROR(TEXT(SUMPRODUCT(MAX((Inspections!$E$2:$E$500=$A13)*IFERROR(DATEVALUE(LEFT(Inspections!$B$2:$B$500,10)),0))),"YYYY-MM-DD"),"")))</f>
        <v/>
      </c>
      <c r="D13" s="17">
        <f>IF($C13="","",IFERROR(INDEX(Inspections!$H$2:$H$500,SUMPRODUCT(MAX((Inspections!$E$2:$E$500=$A13)*(LEFT(Inspections!$B$2:$B$500,10)=$C13)*(ROW(Inspections!$B$2:$B$500)-1)))),""))</f>
        <v/>
      </c>
      <c r="E13" s="16">
        <f>IF($C13="","",COUNTIFS(Inspections!$E$2:$E$500,$A13,Inspections!$B$2:$B$500,($C13&amp;"*")))</f>
        <v/>
      </c>
      <c r="F13" s="16">
        <f>IF($C13="","",COUNTIFS(Inspections!$E$2:$E$500,$A13,Inspections!$B$2:$B$500,($C13&amp;"*"),Inspections!$U$2:$U$500,"REPLACE"))</f>
        <v/>
      </c>
      <c r="G13" s="16">
        <f>IF($C13="","",COUNTIFS(Inspections!$E$2:$E$500,$A13,Inspections!$B$2:$B$500,($C13&amp;"*"),Inspections!$U$2:$U$500,"WATCH"))</f>
        <v/>
      </c>
      <c r="H13" s="16">
        <f>IF($C13="","",COUNTIFS(Inspections!$E$2:$E$500,$A13,Inspections!$B$2:$B$500,($C13&amp;"*"),Inspections!$U$2:$U$500,"OK"))</f>
        <v/>
      </c>
      <c r="I13" s="16">
        <f>IF($C13="","",IFERROR(_xlfn.MINIFS(Inspections!$R$2:$R$500,Inspections!$E$2:$E$500,$A13,Inspections!$B$2:$B$500,($C13&amp;"*")),""))</f>
        <v/>
      </c>
      <c r="J13" s="16">
        <f>IF($I13="","",IFERROR(INDEX(Inspections!$J$2:$J$500,SUMPRODUCT(MAX((Inspections!$E$2:$E$500=$A13)*(LEFT(Inspections!$B$2:$B$500,10)=$C13)*(Inspections!$R$2:$R$500=$I13)*(ROW(Inspections!$B$2:$B$500)-1)))),""))</f>
        <v/>
      </c>
      <c r="K13" s="11">
        <f>IF($C13="","",IF($F13&gt;0,"Replace "&amp;$F13&amp;" tire(s) now",IF($G13&gt;0,"Schedule: "&amp;$G13&amp;" tire(s) near minimum","OK")))</f>
        <v/>
      </c>
    </row>
    <row r="14">
      <c r="A14" s="15" t="n"/>
      <c r="B14" s="11">
        <f>IF($A14="","",IFERROR(INDEX(Inspections!$D$2:$D$500,SUMPRODUCT(MAX((Inspections!$E$2:$E$500=$A14)*(LEFT(Inspections!$B$2:$B$500,10)=$C14)*(ROW(Inspections!$B$2:$B$500)-1)))),""))</f>
        <v/>
      </c>
      <c r="C14" s="16">
        <f>IF($A14="","",IF(COUNTIFS(Inspections!$E$2:$E$500,$A14)=0,"",IFERROR(TEXT(SUMPRODUCT(MAX((Inspections!$E$2:$E$500=$A14)*IFERROR(DATEVALUE(LEFT(Inspections!$B$2:$B$500,10)),0))),"YYYY-MM-DD"),"")))</f>
        <v/>
      </c>
      <c r="D14" s="17">
        <f>IF($C14="","",IFERROR(INDEX(Inspections!$H$2:$H$500,SUMPRODUCT(MAX((Inspections!$E$2:$E$500=$A14)*(LEFT(Inspections!$B$2:$B$500,10)=$C14)*(ROW(Inspections!$B$2:$B$500)-1)))),""))</f>
        <v/>
      </c>
      <c r="E14" s="16">
        <f>IF($C14="","",COUNTIFS(Inspections!$E$2:$E$500,$A14,Inspections!$B$2:$B$500,($C14&amp;"*")))</f>
        <v/>
      </c>
      <c r="F14" s="16">
        <f>IF($C14="","",COUNTIFS(Inspections!$E$2:$E$500,$A14,Inspections!$B$2:$B$500,($C14&amp;"*"),Inspections!$U$2:$U$500,"REPLACE"))</f>
        <v/>
      </c>
      <c r="G14" s="16">
        <f>IF($C14="","",COUNTIFS(Inspections!$E$2:$E$500,$A14,Inspections!$B$2:$B$500,($C14&amp;"*"),Inspections!$U$2:$U$500,"WATCH"))</f>
        <v/>
      </c>
      <c r="H14" s="16">
        <f>IF($C14="","",COUNTIFS(Inspections!$E$2:$E$500,$A14,Inspections!$B$2:$B$500,($C14&amp;"*"),Inspections!$U$2:$U$500,"OK"))</f>
        <v/>
      </c>
      <c r="I14" s="16">
        <f>IF($C14="","",IFERROR(_xlfn.MINIFS(Inspections!$R$2:$R$500,Inspections!$E$2:$E$500,$A14,Inspections!$B$2:$B$500,($C14&amp;"*")),""))</f>
        <v/>
      </c>
      <c r="J14" s="16">
        <f>IF($I14="","",IFERROR(INDEX(Inspections!$J$2:$J$500,SUMPRODUCT(MAX((Inspections!$E$2:$E$500=$A14)*(LEFT(Inspections!$B$2:$B$500,10)=$C14)*(Inspections!$R$2:$R$500=$I14)*(ROW(Inspections!$B$2:$B$500)-1)))),""))</f>
        <v/>
      </c>
      <c r="K14" s="11">
        <f>IF($C14="","",IF($F14&gt;0,"Replace "&amp;$F14&amp;" tire(s) now",IF($G14&gt;0,"Schedule: "&amp;$G14&amp;" tire(s) near minimum","OK")))</f>
        <v/>
      </c>
    </row>
    <row r="15">
      <c r="A15" s="15" t="n"/>
      <c r="B15" s="11">
        <f>IF($A15="","",IFERROR(INDEX(Inspections!$D$2:$D$500,SUMPRODUCT(MAX((Inspections!$E$2:$E$500=$A15)*(LEFT(Inspections!$B$2:$B$500,10)=$C15)*(ROW(Inspections!$B$2:$B$500)-1)))),""))</f>
        <v/>
      </c>
      <c r="C15" s="16">
        <f>IF($A15="","",IF(COUNTIFS(Inspections!$E$2:$E$500,$A15)=0,"",IFERROR(TEXT(SUMPRODUCT(MAX((Inspections!$E$2:$E$500=$A15)*IFERROR(DATEVALUE(LEFT(Inspections!$B$2:$B$500,10)),0))),"YYYY-MM-DD"),"")))</f>
        <v/>
      </c>
      <c r="D15" s="17">
        <f>IF($C15="","",IFERROR(INDEX(Inspections!$H$2:$H$500,SUMPRODUCT(MAX((Inspections!$E$2:$E$500=$A15)*(LEFT(Inspections!$B$2:$B$500,10)=$C15)*(ROW(Inspections!$B$2:$B$500)-1)))),""))</f>
        <v/>
      </c>
      <c r="E15" s="16">
        <f>IF($C15="","",COUNTIFS(Inspections!$E$2:$E$500,$A15,Inspections!$B$2:$B$500,($C15&amp;"*")))</f>
        <v/>
      </c>
      <c r="F15" s="16">
        <f>IF($C15="","",COUNTIFS(Inspections!$E$2:$E$500,$A15,Inspections!$B$2:$B$500,($C15&amp;"*"),Inspections!$U$2:$U$500,"REPLACE"))</f>
        <v/>
      </c>
      <c r="G15" s="16">
        <f>IF($C15="","",COUNTIFS(Inspections!$E$2:$E$500,$A15,Inspections!$B$2:$B$500,($C15&amp;"*"),Inspections!$U$2:$U$500,"WATCH"))</f>
        <v/>
      </c>
      <c r="H15" s="16">
        <f>IF($C15="","",COUNTIFS(Inspections!$E$2:$E$500,$A15,Inspections!$B$2:$B$500,($C15&amp;"*"),Inspections!$U$2:$U$500,"OK"))</f>
        <v/>
      </c>
      <c r="I15" s="16">
        <f>IF($C15="","",IFERROR(_xlfn.MINIFS(Inspections!$R$2:$R$500,Inspections!$E$2:$E$500,$A15,Inspections!$B$2:$B$500,($C15&amp;"*")),""))</f>
        <v/>
      </c>
      <c r="J15" s="16">
        <f>IF($I15="","",IFERROR(INDEX(Inspections!$J$2:$J$500,SUMPRODUCT(MAX((Inspections!$E$2:$E$500=$A15)*(LEFT(Inspections!$B$2:$B$500,10)=$C15)*(Inspections!$R$2:$R$500=$I15)*(ROW(Inspections!$B$2:$B$500)-1)))),""))</f>
        <v/>
      </c>
      <c r="K15" s="11">
        <f>IF($C15="","",IF($F15&gt;0,"Replace "&amp;$F15&amp;" tire(s) now",IF($G15&gt;0,"Schedule: "&amp;$G15&amp;" tire(s) near minimum","OK")))</f>
        <v/>
      </c>
    </row>
    <row r="16">
      <c r="A16" s="15" t="n"/>
      <c r="B16" s="11">
        <f>IF($A16="","",IFERROR(INDEX(Inspections!$D$2:$D$500,SUMPRODUCT(MAX((Inspections!$E$2:$E$500=$A16)*(LEFT(Inspections!$B$2:$B$500,10)=$C16)*(ROW(Inspections!$B$2:$B$500)-1)))),""))</f>
        <v/>
      </c>
      <c r="C16" s="16">
        <f>IF($A16="","",IF(COUNTIFS(Inspections!$E$2:$E$500,$A16)=0,"",IFERROR(TEXT(SUMPRODUCT(MAX((Inspections!$E$2:$E$500=$A16)*IFERROR(DATEVALUE(LEFT(Inspections!$B$2:$B$500,10)),0))),"YYYY-MM-DD"),"")))</f>
        <v/>
      </c>
      <c r="D16" s="17">
        <f>IF($C16="","",IFERROR(INDEX(Inspections!$H$2:$H$500,SUMPRODUCT(MAX((Inspections!$E$2:$E$500=$A16)*(LEFT(Inspections!$B$2:$B$500,10)=$C16)*(ROW(Inspections!$B$2:$B$500)-1)))),""))</f>
        <v/>
      </c>
      <c r="E16" s="16">
        <f>IF($C16="","",COUNTIFS(Inspections!$E$2:$E$500,$A16,Inspections!$B$2:$B$500,($C16&amp;"*")))</f>
        <v/>
      </c>
      <c r="F16" s="16">
        <f>IF($C16="","",COUNTIFS(Inspections!$E$2:$E$500,$A16,Inspections!$B$2:$B$500,($C16&amp;"*"),Inspections!$U$2:$U$500,"REPLACE"))</f>
        <v/>
      </c>
      <c r="G16" s="16">
        <f>IF($C16="","",COUNTIFS(Inspections!$E$2:$E$500,$A16,Inspections!$B$2:$B$500,($C16&amp;"*"),Inspections!$U$2:$U$500,"WATCH"))</f>
        <v/>
      </c>
      <c r="H16" s="16">
        <f>IF($C16="","",COUNTIFS(Inspections!$E$2:$E$500,$A16,Inspections!$B$2:$B$500,($C16&amp;"*"),Inspections!$U$2:$U$500,"OK"))</f>
        <v/>
      </c>
      <c r="I16" s="16">
        <f>IF($C16="","",IFERROR(_xlfn.MINIFS(Inspections!$R$2:$R$500,Inspections!$E$2:$E$500,$A16,Inspections!$B$2:$B$500,($C16&amp;"*")),""))</f>
        <v/>
      </c>
      <c r="J16" s="16">
        <f>IF($I16="","",IFERROR(INDEX(Inspections!$J$2:$J$500,SUMPRODUCT(MAX((Inspections!$E$2:$E$500=$A16)*(LEFT(Inspections!$B$2:$B$500,10)=$C16)*(Inspections!$R$2:$R$500=$I16)*(ROW(Inspections!$B$2:$B$500)-1)))),""))</f>
        <v/>
      </c>
      <c r="K16" s="11">
        <f>IF($C16="","",IF($F16&gt;0,"Replace "&amp;$F16&amp;" tire(s) now",IF($G16&gt;0,"Schedule: "&amp;$G16&amp;" tire(s) near minimum","OK")))</f>
        <v/>
      </c>
    </row>
    <row r="17">
      <c r="A17" s="15" t="n"/>
      <c r="B17" s="11">
        <f>IF($A17="","",IFERROR(INDEX(Inspections!$D$2:$D$500,SUMPRODUCT(MAX((Inspections!$E$2:$E$500=$A17)*(LEFT(Inspections!$B$2:$B$500,10)=$C17)*(ROW(Inspections!$B$2:$B$500)-1)))),""))</f>
        <v/>
      </c>
      <c r="C17" s="16">
        <f>IF($A17="","",IF(COUNTIFS(Inspections!$E$2:$E$500,$A17)=0,"",IFERROR(TEXT(SUMPRODUCT(MAX((Inspections!$E$2:$E$500=$A17)*IFERROR(DATEVALUE(LEFT(Inspections!$B$2:$B$500,10)),0))),"YYYY-MM-DD"),"")))</f>
        <v/>
      </c>
      <c r="D17" s="17">
        <f>IF($C17="","",IFERROR(INDEX(Inspections!$H$2:$H$500,SUMPRODUCT(MAX((Inspections!$E$2:$E$500=$A17)*(LEFT(Inspections!$B$2:$B$500,10)=$C17)*(ROW(Inspections!$B$2:$B$500)-1)))),""))</f>
        <v/>
      </c>
      <c r="E17" s="16">
        <f>IF($C17="","",COUNTIFS(Inspections!$E$2:$E$500,$A17,Inspections!$B$2:$B$500,($C17&amp;"*")))</f>
        <v/>
      </c>
      <c r="F17" s="16">
        <f>IF($C17="","",COUNTIFS(Inspections!$E$2:$E$500,$A17,Inspections!$B$2:$B$500,($C17&amp;"*"),Inspections!$U$2:$U$500,"REPLACE"))</f>
        <v/>
      </c>
      <c r="G17" s="16">
        <f>IF($C17="","",COUNTIFS(Inspections!$E$2:$E$500,$A17,Inspections!$B$2:$B$500,($C17&amp;"*"),Inspections!$U$2:$U$500,"WATCH"))</f>
        <v/>
      </c>
      <c r="H17" s="16">
        <f>IF($C17="","",COUNTIFS(Inspections!$E$2:$E$500,$A17,Inspections!$B$2:$B$500,($C17&amp;"*"),Inspections!$U$2:$U$500,"OK"))</f>
        <v/>
      </c>
      <c r="I17" s="16">
        <f>IF($C17="","",IFERROR(_xlfn.MINIFS(Inspections!$R$2:$R$500,Inspections!$E$2:$E$500,$A17,Inspections!$B$2:$B$500,($C17&amp;"*")),""))</f>
        <v/>
      </c>
      <c r="J17" s="16">
        <f>IF($I17="","",IFERROR(INDEX(Inspections!$J$2:$J$500,SUMPRODUCT(MAX((Inspections!$E$2:$E$500=$A17)*(LEFT(Inspections!$B$2:$B$500,10)=$C17)*(Inspections!$R$2:$R$500=$I17)*(ROW(Inspections!$B$2:$B$500)-1)))),""))</f>
        <v/>
      </c>
      <c r="K17" s="11">
        <f>IF($C17="","",IF($F17&gt;0,"Replace "&amp;$F17&amp;" tire(s) now",IF($G17&gt;0,"Schedule: "&amp;$G17&amp;" tire(s) near minimum","OK")))</f>
        <v/>
      </c>
    </row>
    <row r="18">
      <c r="A18" s="15" t="n"/>
      <c r="B18" s="11">
        <f>IF($A18="","",IFERROR(INDEX(Inspections!$D$2:$D$500,SUMPRODUCT(MAX((Inspections!$E$2:$E$500=$A18)*(LEFT(Inspections!$B$2:$B$500,10)=$C18)*(ROW(Inspections!$B$2:$B$500)-1)))),""))</f>
        <v/>
      </c>
      <c r="C18" s="16">
        <f>IF($A18="","",IF(COUNTIFS(Inspections!$E$2:$E$500,$A18)=0,"",IFERROR(TEXT(SUMPRODUCT(MAX((Inspections!$E$2:$E$500=$A18)*IFERROR(DATEVALUE(LEFT(Inspections!$B$2:$B$500,10)),0))),"YYYY-MM-DD"),"")))</f>
        <v/>
      </c>
      <c r="D18" s="17">
        <f>IF($C18="","",IFERROR(INDEX(Inspections!$H$2:$H$500,SUMPRODUCT(MAX((Inspections!$E$2:$E$500=$A18)*(LEFT(Inspections!$B$2:$B$500,10)=$C18)*(ROW(Inspections!$B$2:$B$500)-1)))),""))</f>
        <v/>
      </c>
      <c r="E18" s="16">
        <f>IF($C18="","",COUNTIFS(Inspections!$E$2:$E$500,$A18,Inspections!$B$2:$B$500,($C18&amp;"*")))</f>
        <v/>
      </c>
      <c r="F18" s="16">
        <f>IF($C18="","",COUNTIFS(Inspections!$E$2:$E$500,$A18,Inspections!$B$2:$B$500,($C18&amp;"*"),Inspections!$U$2:$U$500,"REPLACE"))</f>
        <v/>
      </c>
      <c r="G18" s="16">
        <f>IF($C18="","",COUNTIFS(Inspections!$E$2:$E$500,$A18,Inspections!$B$2:$B$500,($C18&amp;"*"),Inspections!$U$2:$U$500,"WATCH"))</f>
        <v/>
      </c>
      <c r="H18" s="16">
        <f>IF($C18="","",COUNTIFS(Inspections!$E$2:$E$500,$A18,Inspections!$B$2:$B$500,($C18&amp;"*"),Inspections!$U$2:$U$500,"OK"))</f>
        <v/>
      </c>
      <c r="I18" s="16">
        <f>IF($C18="","",IFERROR(_xlfn.MINIFS(Inspections!$R$2:$R$500,Inspections!$E$2:$E$500,$A18,Inspections!$B$2:$B$500,($C18&amp;"*")),""))</f>
        <v/>
      </c>
      <c r="J18" s="16">
        <f>IF($I18="","",IFERROR(INDEX(Inspections!$J$2:$J$500,SUMPRODUCT(MAX((Inspections!$E$2:$E$500=$A18)*(LEFT(Inspections!$B$2:$B$500,10)=$C18)*(Inspections!$R$2:$R$500=$I18)*(ROW(Inspections!$B$2:$B$500)-1)))),""))</f>
        <v/>
      </c>
      <c r="K18" s="11">
        <f>IF($C18="","",IF($F18&gt;0,"Replace "&amp;$F18&amp;" tire(s) now",IF($G18&gt;0,"Schedule: "&amp;$G18&amp;" tire(s) near minimum","OK")))</f>
        <v/>
      </c>
    </row>
    <row r="19">
      <c r="A19" s="15" t="n"/>
      <c r="B19" s="11">
        <f>IF($A19="","",IFERROR(INDEX(Inspections!$D$2:$D$500,SUMPRODUCT(MAX((Inspections!$E$2:$E$500=$A19)*(LEFT(Inspections!$B$2:$B$500,10)=$C19)*(ROW(Inspections!$B$2:$B$500)-1)))),""))</f>
        <v/>
      </c>
      <c r="C19" s="16">
        <f>IF($A19="","",IF(COUNTIFS(Inspections!$E$2:$E$500,$A19)=0,"",IFERROR(TEXT(SUMPRODUCT(MAX((Inspections!$E$2:$E$500=$A19)*IFERROR(DATEVALUE(LEFT(Inspections!$B$2:$B$500,10)),0))),"YYYY-MM-DD"),"")))</f>
        <v/>
      </c>
      <c r="D19" s="17">
        <f>IF($C19="","",IFERROR(INDEX(Inspections!$H$2:$H$500,SUMPRODUCT(MAX((Inspections!$E$2:$E$500=$A19)*(LEFT(Inspections!$B$2:$B$500,10)=$C19)*(ROW(Inspections!$B$2:$B$500)-1)))),""))</f>
        <v/>
      </c>
      <c r="E19" s="16">
        <f>IF($C19="","",COUNTIFS(Inspections!$E$2:$E$500,$A19,Inspections!$B$2:$B$500,($C19&amp;"*")))</f>
        <v/>
      </c>
      <c r="F19" s="16">
        <f>IF($C19="","",COUNTIFS(Inspections!$E$2:$E$500,$A19,Inspections!$B$2:$B$500,($C19&amp;"*"),Inspections!$U$2:$U$500,"REPLACE"))</f>
        <v/>
      </c>
      <c r="G19" s="16">
        <f>IF($C19="","",COUNTIFS(Inspections!$E$2:$E$500,$A19,Inspections!$B$2:$B$500,($C19&amp;"*"),Inspections!$U$2:$U$500,"WATCH"))</f>
        <v/>
      </c>
      <c r="H19" s="16">
        <f>IF($C19="","",COUNTIFS(Inspections!$E$2:$E$500,$A19,Inspections!$B$2:$B$500,($C19&amp;"*"),Inspections!$U$2:$U$500,"OK"))</f>
        <v/>
      </c>
      <c r="I19" s="16">
        <f>IF($C19="","",IFERROR(_xlfn.MINIFS(Inspections!$R$2:$R$500,Inspections!$E$2:$E$500,$A19,Inspections!$B$2:$B$500,($C19&amp;"*")),""))</f>
        <v/>
      </c>
      <c r="J19" s="16">
        <f>IF($I19="","",IFERROR(INDEX(Inspections!$J$2:$J$500,SUMPRODUCT(MAX((Inspections!$E$2:$E$500=$A19)*(LEFT(Inspections!$B$2:$B$500,10)=$C19)*(Inspections!$R$2:$R$500=$I19)*(ROW(Inspections!$B$2:$B$500)-1)))),""))</f>
        <v/>
      </c>
      <c r="K19" s="11">
        <f>IF($C19="","",IF($F19&gt;0,"Replace "&amp;$F19&amp;" tire(s) now",IF($G19&gt;0,"Schedule: "&amp;$G19&amp;" tire(s) near minimum","OK")))</f>
        <v/>
      </c>
    </row>
    <row r="20">
      <c r="A20" s="15" t="n"/>
      <c r="B20" s="11">
        <f>IF($A20="","",IFERROR(INDEX(Inspections!$D$2:$D$500,SUMPRODUCT(MAX((Inspections!$E$2:$E$500=$A20)*(LEFT(Inspections!$B$2:$B$500,10)=$C20)*(ROW(Inspections!$B$2:$B$500)-1)))),""))</f>
        <v/>
      </c>
      <c r="C20" s="16">
        <f>IF($A20="","",IF(COUNTIFS(Inspections!$E$2:$E$500,$A20)=0,"",IFERROR(TEXT(SUMPRODUCT(MAX((Inspections!$E$2:$E$500=$A20)*IFERROR(DATEVALUE(LEFT(Inspections!$B$2:$B$500,10)),0))),"YYYY-MM-DD"),"")))</f>
        <v/>
      </c>
      <c r="D20" s="17">
        <f>IF($C20="","",IFERROR(INDEX(Inspections!$H$2:$H$500,SUMPRODUCT(MAX((Inspections!$E$2:$E$500=$A20)*(LEFT(Inspections!$B$2:$B$500,10)=$C20)*(ROW(Inspections!$B$2:$B$500)-1)))),""))</f>
        <v/>
      </c>
      <c r="E20" s="16">
        <f>IF($C20="","",COUNTIFS(Inspections!$E$2:$E$500,$A20,Inspections!$B$2:$B$500,($C20&amp;"*")))</f>
        <v/>
      </c>
      <c r="F20" s="16">
        <f>IF($C20="","",COUNTIFS(Inspections!$E$2:$E$500,$A20,Inspections!$B$2:$B$500,($C20&amp;"*"),Inspections!$U$2:$U$500,"REPLACE"))</f>
        <v/>
      </c>
      <c r="G20" s="16">
        <f>IF($C20="","",COUNTIFS(Inspections!$E$2:$E$500,$A20,Inspections!$B$2:$B$500,($C20&amp;"*"),Inspections!$U$2:$U$500,"WATCH"))</f>
        <v/>
      </c>
      <c r="H20" s="16">
        <f>IF($C20="","",COUNTIFS(Inspections!$E$2:$E$500,$A20,Inspections!$B$2:$B$500,($C20&amp;"*"),Inspections!$U$2:$U$500,"OK"))</f>
        <v/>
      </c>
      <c r="I20" s="16">
        <f>IF($C20="","",IFERROR(_xlfn.MINIFS(Inspections!$R$2:$R$500,Inspections!$E$2:$E$500,$A20,Inspections!$B$2:$B$500,($C20&amp;"*")),""))</f>
        <v/>
      </c>
      <c r="J20" s="16">
        <f>IF($I20="","",IFERROR(INDEX(Inspections!$J$2:$J$500,SUMPRODUCT(MAX((Inspections!$E$2:$E$500=$A20)*(LEFT(Inspections!$B$2:$B$500,10)=$C20)*(Inspections!$R$2:$R$500=$I20)*(ROW(Inspections!$B$2:$B$500)-1)))),""))</f>
        <v/>
      </c>
      <c r="K20" s="11">
        <f>IF($C20="","",IF($F20&gt;0,"Replace "&amp;$F20&amp;" tire(s) now",IF($G20&gt;0,"Schedule: "&amp;$G20&amp;" tire(s) near minimum","OK")))</f>
        <v/>
      </c>
    </row>
    <row r="21">
      <c r="A21" s="15" t="n"/>
      <c r="B21" s="11">
        <f>IF($A21="","",IFERROR(INDEX(Inspections!$D$2:$D$500,SUMPRODUCT(MAX((Inspections!$E$2:$E$500=$A21)*(LEFT(Inspections!$B$2:$B$500,10)=$C21)*(ROW(Inspections!$B$2:$B$500)-1)))),""))</f>
        <v/>
      </c>
      <c r="C21" s="16">
        <f>IF($A21="","",IF(COUNTIFS(Inspections!$E$2:$E$500,$A21)=0,"",IFERROR(TEXT(SUMPRODUCT(MAX((Inspections!$E$2:$E$500=$A21)*IFERROR(DATEVALUE(LEFT(Inspections!$B$2:$B$500,10)),0))),"YYYY-MM-DD"),"")))</f>
        <v/>
      </c>
      <c r="D21" s="17">
        <f>IF($C21="","",IFERROR(INDEX(Inspections!$H$2:$H$500,SUMPRODUCT(MAX((Inspections!$E$2:$E$500=$A21)*(LEFT(Inspections!$B$2:$B$500,10)=$C21)*(ROW(Inspections!$B$2:$B$500)-1)))),""))</f>
        <v/>
      </c>
      <c r="E21" s="16">
        <f>IF($C21="","",COUNTIFS(Inspections!$E$2:$E$500,$A21,Inspections!$B$2:$B$500,($C21&amp;"*")))</f>
        <v/>
      </c>
      <c r="F21" s="16">
        <f>IF($C21="","",COUNTIFS(Inspections!$E$2:$E$500,$A21,Inspections!$B$2:$B$500,($C21&amp;"*"),Inspections!$U$2:$U$500,"REPLACE"))</f>
        <v/>
      </c>
      <c r="G21" s="16">
        <f>IF($C21="","",COUNTIFS(Inspections!$E$2:$E$500,$A21,Inspections!$B$2:$B$500,($C21&amp;"*"),Inspections!$U$2:$U$500,"WATCH"))</f>
        <v/>
      </c>
      <c r="H21" s="16">
        <f>IF($C21="","",COUNTIFS(Inspections!$E$2:$E$500,$A21,Inspections!$B$2:$B$500,($C21&amp;"*"),Inspections!$U$2:$U$500,"OK"))</f>
        <v/>
      </c>
      <c r="I21" s="16">
        <f>IF($C21="","",IFERROR(_xlfn.MINIFS(Inspections!$R$2:$R$500,Inspections!$E$2:$E$500,$A21,Inspections!$B$2:$B$500,($C21&amp;"*")),""))</f>
        <v/>
      </c>
      <c r="J21" s="16">
        <f>IF($I21="","",IFERROR(INDEX(Inspections!$J$2:$J$500,SUMPRODUCT(MAX((Inspections!$E$2:$E$500=$A21)*(LEFT(Inspections!$B$2:$B$500,10)=$C21)*(Inspections!$R$2:$R$500=$I21)*(ROW(Inspections!$B$2:$B$500)-1)))),""))</f>
        <v/>
      </c>
      <c r="K21" s="11">
        <f>IF($C21="","",IF($F21&gt;0,"Replace "&amp;$F21&amp;" tire(s) now",IF($G21&gt;0,"Schedule: "&amp;$G21&amp;" tire(s) near minimum","OK")))</f>
        <v/>
      </c>
    </row>
    <row r="22">
      <c r="A22" s="15" t="n"/>
      <c r="B22" s="11">
        <f>IF($A22="","",IFERROR(INDEX(Inspections!$D$2:$D$500,SUMPRODUCT(MAX((Inspections!$E$2:$E$500=$A22)*(LEFT(Inspections!$B$2:$B$500,10)=$C22)*(ROW(Inspections!$B$2:$B$500)-1)))),""))</f>
        <v/>
      </c>
      <c r="C22" s="16">
        <f>IF($A22="","",IF(COUNTIFS(Inspections!$E$2:$E$500,$A22)=0,"",IFERROR(TEXT(SUMPRODUCT(MAX((Inspections!$E$2:$E$500=$A22)*IFERROR(DATEVALUE(LEFT(Inspections!$B$2:$B$500,10)),0))),"YYYY-MM-DD"),"")))</f>
        <v/>
      </c>
      <c r="D22" s="17">
        <f>IF($C22="","",IFERROR(INDEX(Inspections!$H$2:$H$500,SUMPRODUCT(MAX((Inspections!$E$2:$E$500=$A22)*(LEFT(Inspections!$B$2:$B$500,10)=$C22)*(ROW(Inspections!$B$2:$B$500)-1)))),""))</f>
        <v/>
      </c>
      <c r="E22" s="16">
        <f>IF($C22="","",COUNTIFS(Inspections!$E$2:$E$500,$A22,Inspections!$B$2:$B$500,($C22&amp;"*")))</f>
        <v/>
      </c>
      <c r="F22" s="16">
        <f>IF($C22="","",COUNTIFS(Inspections!$E$2:$E$500,$A22,Inspections!$B$2:$B$500,($C22&amp;"*"),Inspections!$U$2:$U$500,"REPLACE"))</f>
        <v/>
      </c>
      <c r="G22" s="16">
        <f>IF($C22="","",COUNTIFS(Inspections!$E$2:$E$500,$A22,Inspections!$B$2:$B$500,($C22&amp;"*"),Inspections!$U$2:$U$500,"WATCH"))</f>
        <v/>
      </c>
      <c r="H22" s="16">
        <f>IF($C22="","",COUNTIFS(Inspections!$E$2:$E$500,$A22,Inspections!$B$2:$B$500,($C22&amp;"*"),Inspections!$U$2:$U$500,"OK"))</f>
        <v/>
      </c>
      <c r="I22" s="16">
        <f>IF($C22="","",IFERROR(_xlfn.MINIFS(Inspections!$R$2:$R$500,Inspections!$E$2:$E$500,$A22,Inspections!$B$2:$B$500,($C22&amp;"*")),""))</f>
        <v/>
      </c>
      <c r="J22" s="16">
        <f>IF($I22="","",IFERROR(INDEX(Inspections!$J$2:$J$500,SUMPRODUCT(MAX((Inspections!$E$2:$E$500=$A22)*(LEFT(Inspections!$B$2:$B$500,10)=$C22)*(Inspections!$R$2:$R$500=$I22)*(ROW(Inspections!$B$2:$B$500)-1)))),""))</f>
        <v/>
      </c>
      <c r="K22" s="11">
        <f>IF($C22="","",IF($F22&gt;0,"Replace "&amp;$F22&amp;" tire(s) now",IF($G22&gt;0,"Schedule: "&amp;$G22&amp;" tire(s) near minimum","OK")))</f>
        <v/>
      </c>
    </row>
    <row r="23">
      <c r="A23" s="15" t="n"/>
      <c r="B23" s="11">
        <f>IF($A23="","",IFERROR(INDEX(Inspections!$D$2:$D$500,SUMPRODUCT(MAX((Inspections!$E$2:$E$500=$A23)*(LEFT(Inspections!$B$2:$B$500,10)=$C23)*(ROW(Inspections!$B$2:$B$500)-1)))),""))</f>
        <v/>
      </c>
      <c r="C23" s="16">
        <f>IF($A23="","",IF(COUNTIFS(Inspections!$E$2:$E$500,$A23)=0,"",IFERROR(TEXT(SUMPRODUCT(MAX((Inspections!$E$2:$E$500=$A23)*IFERROR(DATEVALUE(LEFT(Inspections!$B$2:$B$500,10)),0))),"YYYY-MM-DD"),"")))</f>
        <v/>
      </c>
      <c r="D23" s="17">
        <f>IF($C23="","",IFERROR(INDEX(Inspections!$H$2:$H$500,SUMPRODUCT(MAX((Inspections!$E$2:$E$500=$A23)*(LEFT(Inspections!$B$2:$B$500,10)=$C23)*(ROW(Inspections!$B$2:$B$500)-1)))),""))</f>
        <v/>
      </c>
      <c r="E23" s="16">
        <f>IF($C23="","",COUNTIFS(Inspections!$E$2:$E$500,$A23,Inspections!$B$2:$B$500,($C23&amp;"*")))</f>
        <v/>
      </c>
      <c r="F23" s="16">
        <f>IF($C23="","",COUNTIFS(Inspections!$E$2:$E$500,$A23,Inspections!$B$2:$B$500,($C23&amp;"*"),Inspections!$U$2:$U$500,"REPLACE"))</f>
        <v/>
      </c>
      <c r="G23" s="16">
        <f>IF($C23="","",COUNTIFS(Inspections!$E$2:$E$500,$A23,Inspections!$B$2:$B$500,($C23&amp;"*"),Inspections!$U$2:$U$500,"WATCH"))</f>
        <v/>
      </c>
      <c r="H23" s="16">
        <f>IF($C23="","",COUNTIFS(Inspections!$E$2:$E$500,$A23,Inspections!$B$2:$B$500,($C23&amp;"*"),Inspections!$U$2:$U$500,"OK"))</f>
        <v/>
      </c>
      <c r="I23" s="16">
        <f>IF($C23="","",IFERROR(_xlfn.MINIFS(Inspections!$R$2:$R$500,Inspections!$E$2:$E$500,$A23,Inspections!$B$2:$B$500,($C23&amp;"*")),""))</f>
        <v/>
      </c>
      <c r="J23" s="16">
        <f>IF($I23="","",IFERROR(INDEX(Inspections!$J$2:$J$500,SUMPRODUCT(MAX((Inspections!$E$2:$E$500=$A23)*(LEFT(Inspections!$B$2:$B$500,10)=$C23)*(Inspections!$R$2:$R$500=$I23)*(ROW(Inspections!$B$2:$B$500)-1)))),""))</f>
        <v/>
      </c>
      <c r="K23" s="11">
        <f>IF($C23="","",IF($F23&gt;0,"Replace "&amp;$F23&amp;" tire(s) now",IF($G23&gt;0,"Schedule: "&amp;$G23&amp;" tire(s) near minimum","OK")))</f>
        <v/>
      </c>
    </row>
    <row r="24">
      <c r="A24" s="15" t="n"/>
      <c r="B24" s="11">
        <f>IF($A24="","",IFERROR(INDEX(Inspections!$D$2:$D$500,SUMPRODUCT(MAX((Inspections!$E$2:$E$500=$A24)*(LEFT(Inspections!$B$2:$B$500,10)=$C24)*(ROW(Inspections!$B$2:$B$500)-1)))),""))</f>
        <v/>
      </c>
      <c r="C24" s="16">
        <f>IF($A24="","",IF(COUNTIFS(Inspections!$E$2:$E$500,$A24)=0,"",IFERROR(TEXT(SUMPRODUCT(MAX((Inspections!$E$2:$E$500=$A24)*IFERROR(DATEVALUE(LEFT(Inspections!$B$2:$B$500,10)),0))),"YYYY-MM-DD"),"")))</f>
        <v/>
      </c>
      <c r="D24" s="17">
        <f>IF($C24="","",IFERROR(INDEX(Inspections!$H$2:$H$500,SUMPRODUCT(MAX((Inspections!$E$2:$E$500=$A24)*(LEFT(Inspections!$B$2:$B$500,10)=$C24)*(ROW(Inspections!$B$2:$B$500)-1)))),""))</f>
        <v/>
      </c>
      <c r="E24" s="16">
        <f>IF($C24="","",COUNTIFS(Inspections!$E$2:$E$500,$A24,Inspections!$B$2:$B$500,($C24&amp;"*")))</f>
        <v/>
      </c>
      <c r="F24" s="16">
        <f>IF($C24="","",COUNTIFS(Inspections!$E$2:$E$500,$A24,Inspections!$B$2:$B$500,($C24&amp;"*"),Inspections!$U$2:$U$500,"REPLACE"))</f>
        <v/>
      </c>
      <c r="G24" s="16">
        <f>IF($C24="","",COUNTIFS(Inspections!$E$2:$E$500,$A24,Inspections!$B$2:$B$500,($C24&amp;"*"),Inspections!$U$2:$U$500,"WATCH"))</f>
        <v/>
      </c>
      <c r="H24" s="16">
        <f>IF($C24="","",COUNTIFS(Inspections!$E$2:$E$500,$A24,Inspections!$B$2:$B$500,($C24&amp;"*"),Inspections!$U$2:$U$500,"OK"))</f>
        <v/>
      </c>
      <c r="I24" s="16">
        <f>IF($C24="","",IFERROR(_xlfn.MINIFS(Inspections!$R$2:$R$500,Inspections!$E$2:$E$500,$A24,Inspections!$B$2:$B$500,($C24&amp;"*")),""))</f>
        <v/>
      </c>
      <c r="J24" s="16">
        <f>IF($I24="","",IFERROR(INDEX(Inspections!$J$2:$J$500,SUMPRODUCT(MAX((Inspections!$E$2:$E$500=$A24)*(LEFT(Inspections!$B$2:$B$500,10)=$C24)*(Inspections!$R$2:$R$500=$I24)*(ROW(Inspections!$B$2:$B$500)-1)))),""))</f>
        <v/>
      </c>
      <c r="K24" s="11">
        <f>IF($C24="","",IF($F24&gt;0,"Replace "&amp;$F24&amp;" tire(s) now",IF($G24&gt;0,"Schedule: "&amp;$G24&amp;" tire(s) near minimum","OK")))</f>
        <v/>
      </c>
    </row>
    <row r="25">
      <c r="A25" s="15" t="n"/>
      <c r="B25" s="11">
        <f>IF($A25="","",IFERROR(INDEX(Inspections!$D$2:$D$500,SUMPRODUCT(MAX((Inspections!$E$2:$E$500=$A25)*(LEFT(Inspections!$B$2:$B$500,10)=$C25)*(ROW(Inspections!$B$2:$B$500)-1)))),""))</f>
        <v/>
      </c>
      <c r="C25" s="16">
        <f>IF($A25="","",IF(COUNTIFS(Inspections!$E$2:$E$500,$A25)=0,"",IFERROR(TEXT(SUMPRODUCT(MAX((Inspections!$E$2:$E$500=$A25)*IFERROR(DATEVALUE(LEFT(Inspections!$B$2:$B$500,10)),0))),"YYYY-MM-DD"),"")))</f>
        <v/>
      </c>
      <c r="D25" s="17">
        <f>IF($C25="","",IFERROR(INDEX(Inspections!$H$2:$H$500,SUMPRODUCT(MAX((Inspections!$E$2:$E$500=$A25)*(LEFT(Inspections!$B$2:$B$500,10)=$C25)*(ROW(Inspections!$B$2:$B$500)-1)))),""))</f>
        <v/>
      </c>
      <c r="E25" s="16">
        <f>IF($C25="","",COUNTIFS(Inspections!$E$2:$E$500,$A25,Inspections!$B$2:$B$500,($C25&amp;"*")))</f>
        <v/>
      </c>
      <c r="F25" s="16">
        <f>IF($C25="","",COUNTIFS(Inspections!$E$2:$E$500,$A25,Inspections!$B$2:$B$500,($C25&amp;"*"),Inspections!$U$2:$U$500,"REPLACE"))</f>
        <v/>
      </c>
      <c r="G25" s="16">
        <f>IF($C25="","",COUNTIFS(Inspections!$E$2:$E$500,$A25,Inspections!$B$2:$B$500,($C25&amp;"*"),Inspections!$U$2:$U$500,"WATCH"))</f>
        <v/>
      </c>
      <c r="H25" s="16">
        <f>IF($C25="","",COUNTIFS(Inspections!$E$2:$E$500,$A25,Inspections!$B$2:$B$500,($C25&amp;"*"),Inspections!$U$2:$U$500,"OK"))</f>
        <v/>
      </c>
      <c r="I25" s="16">
        <f>IF($C25="","",IFERROR(_xlfn.MINIFS(Inspections!$R$2:$R$500,Inspections!$E$2:$E$500,$A25,Inspections!$B$2:$B$500,($C25&amp;"*")),""))</f>
        <v/>
      </c>
      <c r="J25" s="16">
        <f>IF($I25="","",IFERROR(INDEX(Inspections!$J$2:$J$500,SUMPRODUCT(MAX((Inspections!$E$2:$E$500=$A25)*(LEFT(Inspections!$B$2:$B$500,10)=$C25)*(Inspections!$R$2:$R$500=$I25)*(ROW(Inspections!$B$2:$B$500)-1)))),""))</f>
        <v/>
      </c>
      <c r="K25" s="11">
        <f>IF($C25="","",IF($F25&gt;0,"Replace "&amp;$F25&amp;" tire(s) now",IF($G25&gt;0,"Schedule: "&amp;$G25&amp;" tire(s) near minimum","OK")))</f>
        <v/>
      </c>
    </row>
    <row r="26">
      <c r="A26" s="15" t="n"/>
      <c r="B26" s="11">
        <f>IF($A26="","",IFERROR(INDEX(Inspections!$D$2:$D$500,SUMPRODUCT(MAX((Inspections!$E$2:$E$500=$A26)*(LEFT(Inspections!$B$2:$B$500,10)=$C26)*(ROW(Inspections!$B$2:$B$500)-1)))),""))</f>
        <v/>
      </c>
      <c r="C26" s="16">
        <f>IF($A26="","",IF(COUNTIFS(Inspections!$E$2:$E$500,$A26)=0,"",IFERROR(TEXT(SUMPRODUCT(MAX((Inspections!$E$2:$E$500=$A26)*IFERROR(DATEVALUE(LEFT(Inspections!$B$2:$B$500,10)),0))),"YYYY-MM-DD"),"")))</f>
        <v/>
      </c>
      <c r="D26" s="17">
        <f>IF($C26="","",IFERROR(INDEX(Inspections!$H$2:$H$500,SUMPRODUCT(MAX((Inspections!$E$2:$E$500=$A26)*(LEFT(Inspections!$B$2:$B$500,10)=$C26)*(ROW(Inspections!$B$2:$B$500)-1)))),""))</f>
        <v/>
      </c>
      <c r="E26" s="16">
        <f>IF($C26="","",COUNTIFS(Inspections!$E$2:$E$500,$A26,Inspections!$B$2:$B$500,($C26&amp;"*")))</f>
        <v/>
      </c>
      <c r="F26" s="16">
        <f>IF($C26="","",COUNTIFS(Inspections!$E$2:$E$500,$A26,Inspections!$B$2:$B$500,($C26&amp;"*"),Inspections!$U$2:$U$500,"REPLACE"))</f>
        <v/>
      </c>
      <c r="G26" s="16">
        <f>IF($C26="","",COUNTIFS(Inspections!$E$2:$E$500,$A26,Inspections!$B$2:$B$500,($C26&amp;"*"),Inspections!$U$2:$U$500,"WATCH"))</f>
        <v/>
      </c>
      <c r="H26" s="16">
        <f>IF($C26="","",COUNTIFS(Inspections!$E$2:$E$500,$A26,Inspections!$B$2:$B$500,($C26&amp;"*"),Inspections!$U$2:$U$500,"OK"))</f>
        <v/>
      </c>
      <c r="I26" s="16">
        <f>IF($C26="","",IFERROR(_xlfn.MINIFS(Inspections!$R$2:$R$500,Inspections!$E$2:$E$500,$A26,Inspections!$B$2:$B$500,($C26&amp;"*")),""))</f>
        <v/>
      </c>
      <c r="J26" s="16">
        <f>IF($I26="","",IFERROR(INDEX(Inspections!$J$2:$J$500,SUMPRODUCT(MAX((Inspections!$E$2:$E$500=$A26)*(LEFT(Inspections!$B$2:$B$500,10)=$C26)*(Inspections!$R$2:$R$500=$I26)*(ROW(Inspections!$B$2:$B$500)-1)))),""))</f>
        <v/>
      </c>
      <c r="K26" s="11">
        <f>IF($C26="","",IF($F26&gt;0,"Replace "&amp;$F26&amp;" tire(s) now",IF($G26&gt;0,"Schedule: "&amp;$G26&amp;" tire(s) near minimum","OK")))</f>
        <v/>
      </c>
    </row>
    <row r="27">
      <c r="A27" s="15" t="n"/>
      <c r="B27" s="11">
        <f>IF($A27="","",IFERROR(INDEX(Inspections!$D$2:$D$500,SUMPRODUCT(MAX((Inspections!$E$2:$E$500=$A27)*(LEFT(Inspections!$B$2:$B$500,10)=$C27)*(ROW(Inspections!$B$2:$B$500)-1)))),""))</f>
        <v/>
      </c>
      <c r="C27" s="16">
        <f>IF($A27="","",IF(COUNTIFS(Inspections!$E$2:$E$500,$A27)=0,"",IFERROR(TEXT(SUMPRODUCT(MAX((Inspections!$E$2:$E$500=$A27)*IFERROR(DATEVALUE(LEFT(Inspections!$B$2:$B$500,10)),0))),"YYYY-MM-DD"),"")))</f>
        <v/>
      </c>
      <c r="D27" s="17">
        <f>IF($C27="","",IFERROR(INDEX(Inspections!$H$2:$H$500,SUMPRODUCT(MAX((Inspections!$E$2:$E$500=$A27)*(LEFT(Inspections!$B$2:$B$500,10)=$C27)*(ROW(Inspections!$B$2:$B$500)-1)))),""))</f>
        <v/>
      </c>
      <c r="E27" s="16">
        <f>IF($C27="","",COUNTIFS(Inspections!$E$2:$E$500,$A27,Inspections!$B$2:$B$500,($C27&amp;"*")))</f>
        <v/>
      </c>
      <c r="F27" s="16">
        <f>IF($C27="","",COUNTIFS(Inspections!$E$2:$E$500,$A27,Inspections!$B$2:$B$500,($C27&amp;"*"),Inspections!$U$2:$U$500,"REPLACE"))</f>
        <v/>
      </c>
      <c r="G27" s="16">
        <f>IF($C27="","",COUNTIFS(Inspections!$E$2:$E$500,$A27,Inspections!$B$2:$B$500,($C27&amp;"*"),Inspections!$U$2:$U$500,"WATCH"))</f>
        <v/>
      </c>
      <c r="H27" s="16">
        <f>IF($C27="","",COUNTIFS(Inspections!$E$2:$E$500,$A27,Inspections!$B$2:$B$500,($C27&amp;"*"),Inspections!$U$2:$U$500,"OK"))</f>
        <v/>
      </c>
      <c r="I27" s="16">
        <f>IF($C27="","",IFERROR(_xlfn.MINIFS(Inspections!$R$2:$R$500,Inspections!$E$2:$E$500,$A27,Inspections!$B$2:$B$500,($C27&amp;"*")),""))</f>
        <v/>
      </c>
      <c r="J27" s="16">
        <f>IF($I27="","",IFERROR(INDEX(Inspections!$J$2:$J$500,SUMPRODUCT(MAX((Inspections!$E$2:$E$500=$A27)*(LEFT(Inspections!$B$2:$B$500,10)=$C27)*(Inspections!$R$2:$R$500=$I27)*(ROW(Inspections!$B$2:$B$500)-1)))),""))</f>
        <v/>
      </c>
      <c r="K27" s="11">
        <f>IF($C27="","",IF($F27&gt;0,"Replace "&amp;$F27&amp;" tire(s) now",IF($G27&gt;0,"Schedule: "&amp;$G27&amp;" tire(s) near minimum","OK")))</f>
        <v/>
      </c>
    </row>
    <row r="28">
      <c r="A28" s="15" t="n"/>
      <c r="B28" s="11">
        <f>IF($A28="","",IFERROR(INDEX(Inspections!$D$2:$D$500,SUMPRODUCT(MAX((Inspections!$E$2:$E$500=$A28)*(LEFT(Inspections!$B$2:$B$500,10)=$C28)*(ROW(Inspections!$B$2:$B$500)-1)))),""))</f>
        <v/>
      </c>
      <c r="C28" s="16">
        <f>IF($A28="","",IF(COUNTIFS(Inspections!$E$2:$E$500,$A28)=0,"",IFERROR(TEXT(SUMPRODUCT(MAX((Inspections!$E$2:$E$500=$A28)*IFERROR(DATEVALUE(LEFT(Inspections!$B$2:$B$500,10)),0))),"YYYY-MM-DD"),"")))</f>
        <v/>
      </c>
      <c r="D28" s="17">
        <f>IF($C28="","",IFERROR(INDEX(Inspections!$H$2:$H$500,SUMPRODUCT(MAX((Inspections!$E$2:$E$500=$A28)*(LEFT(Inspections!$B$2:$B$500,10)=$C28)*(ROW(Inspections!$B$2:$B$500)-1)))),""))</f>
        <v/>
      </c>
      <c r="E28" s="16">
        <f>IF($C28="","",COUNTIFS(Inspections!$E$2:$E$500,$A28,Inspections!$B$2:$B$500,($C28&amp;"*")))</f>
        <v/>
      </c>
      <c r="F28" s="16">
        <f>IF($C28="","",COUNTIFS(Inspections!$E$2:$E$500,$A28,Inspections!$B$2:$B$500,($C28&amp;"*"),Inspections!$U$2:$U$500,"REPLACE"))</f>
        <v/>
      </c>
      <c r="G28" s="16">
        <f>IF($C28="","",COUNTIFS(Inspections!$E$2:$E$500,$A28,Inspections!$B$2:$B$500,($C28&amp;"*"),Inspections!$U$2:$U$500,"WATCH"))</f>
        <v/>
      </c>
      <c r="H28" s="16">
        <f>IF($C28="","",COUNTIFS(Inspections!$E$2:$E$500,$A28,Inspections!$B$2:$B$500,($C28&amp;"*"),Inspections!$U$2:$U$500,"OK"))</f>
        <v/>
      </c>
      <c r="I28" s="16">
        <f>IF($C28="","",IFERROR(_xlfn.MINIFS(Inspections!$R$2:$R$500,Inspections!$E$2:$E$500,$A28,Inspections!$B$2:$B$500,($C28&amp;"*")),""))</f>
        <v/>
      </c>
      <c r="J28" s="16">
        <f>IF($I28="","",IFERROR(INDEX(Inspections!$J$2:$J$500,SUMPRODUCT(MAX((Inspections!$E$2:$E$500=$A28)*(LEFT(Inspections!$B$2:$B$500,10)=$C28)*(Inspections!$R$2:$R$500=$I28)*(ROW(Inspections!$B$2:$B$500)-1)))),""))</f>
        <v/>
      </c>
      <c r="K28" s="11">
        <f>IF($C28="","",IF($F28&gt;0,"Replace "&amp;$F28&amp;" tire(s) now",IF($G28&gt;0,"Schedule: "&amp;$G28&amp;" tire(s) near minimum","OK")))</f>
        <v/>
      </c>
    </row>
    <row r="29">
      <c r="A29" s="15" t="n"/>
      <c r="B29" s="11">
        <f>IF($A29="","",IFERROR(INDEX(Inspections!$D$2:$D$500,SUMPRODUCT(MAX((Inspections!$E$2:$E$500=$A29)*(LEFT(Inspections!$B$2:$B$500,10)=$C29)*(ROW(Inspections!$B$2:$B$500)-1)))),""))</f>
        <v/>
      </c>
      <c r="C29" s="16">
        <f>IF($A29="","",IF(COUNTIFS(Inspections!$E$2:$E$500,$A29)=0,"",IFERROR(TEXT(SUMPRODUCT(MAX((Inspections!$E$2:$E$500=$A29)*IFERROR(DATEVALUE(LEFT(Inspections!$B$2:$B$500,10)),0))),"YYYY-MM-DD"),"")))</f>
        <v/>
      </c>
      <c r="D29" s="17">
        <f>IF($C29="","",IFERROR(INDEX(Inspections!$H$2:$H$500,SUMPRODUCT(MAX((Inspections!$E$2:$E$500=$A29)*(LEFT(Inspections!$B$2:$B$500,10)=$C29)*(ROW(Inspections!$B$2:$B$500)-1)))),""))</f>
        <v/>
      </c>
      <c r="E29" s="16">
        <f>IF($C29="","",COUNTIFS(Inspections!$E$2:$E$500,$A29,Inspections!$B$2:$B$500,($C29&amp;"*")))</f>
        <v/>
      </c>
      <c r="F29" s="16">
        <f>IF($C29="","",COUNTIFS(Inspections!$E$2:$E$500,$A29,Inspections!$B$2:$B$500,($C29&amp;"*"),Inspections!$U$2:$U$500,"REPLACE"))</f>
        <v/>
      </c>
      <c r="G29" s="16">
        <f>IF($C29="","",COUNTIFS(Inspections!$E$2:$E$500,$A29,Inspections!$B$2:$B$500,($C29&amp;"*"),Inspections!$U$2:$U$500,"WATCH"))</f>
        <v/>
      </c>
      <c r="H29" s="16">
        <f>IF($C29="","",COUNTIFS(Inspections!$E$2:$E$500,$A29,Inspections!$B$2:$B$500,($C29&amp;"*"),Inspections!$U$2:$U$500,"OK"))</f>
        <v/>
      </c>
      <c r="I29" s="16">
        <f>IF($C29="","",IFERROR(_xlfn.MINIFS(Inspections!$R$2:$R$500,Inspections!$E$2:$E$500,$A29,Inspections!$B$2:$B$500,($C29&amp;"*")),""))</f>
        <v/>
      </c>
      <c r="J29" s="16">
        <f>IF($I29="","",IFERROR(INDEX(Inspections!$J$2:$J$500,SUMPRODUCT(MAX((Inspections!$E$2:$E$500=$A29)*(LEFT(Inspections!$B$2:$B$500,10)=$C29)*(Inspections!$R$2:$R$500=$I29)*(ROW(Inspections!$B$2:$B$500)-1)))),""))</f>
        <v/>
      </c>
      <c r="K29" s="11">
        <f>IF($C29="","",IF($F29&gt;0,"Replace "&amp;$F29&amp;" tire(s) now",IF($G29&gt;0,"Schedule: "&amp;$G29&amp;" tire(s) near minimum","OK")))</f>
        <v/>
      </c>
    </row>
    <row r="30">
      <c r="A30" s="15" t="n"/>
      <c r="B30" s="11">
        <f>IF($A30="","",IFERROR(INDEX(Inspections!$D$2:$D$500,SUMPRODUCT(MAX((Inspections!$E$2:$E$500=$A30)*(LEFT(Inspections!$B$2:$B$500,10)=$C30)*(ROW(Inspections!$B$2:$B$500)-1)))),""))</f>
        <v/>
      </c>
      <c r="C30" s="16">
        <f>IF($A30="","",IF(COUNTIFS(Inspections!$E$2:$E$500,$A30)=0,"",IFERROR(TEXT(SUMPRODUCT(MAX((Inspections!$E$2:$E$500=$A30)*IFERROR(DATEVALUE(LEFT(Inspections!$B$2:$B$500,10)),0))),"YYYY-MM-DD"),"")))</f>
        <v/>
      </c>
      <c r="D30" s="17">
        <f>IF($C30="","",IFERROR(INDEX(Inspections!$H$2:$H$500,SUMPRODUCT(MAX((Inspections!$E$2:$E$500=$A30)*(LEFT(Inspections!$B$2:$B$500,10)=$C30)*(ROW(Inspections!$B$2:$B$500)-1)))),""))</f>
        <v/>
      </c>
      <c r="E30" s="16">
        <f>IF($C30="","",COUNTIFS(Inspections!$E$2:$E$500,$A30,Inspections!$B$2:$B$500,($C30&amp;"*")))</f>
        <v/>
      </c>
      <c r="F30" s="16">
        <f>IF($C30="","",COUNTIFS(Inspections!$E$2:$E$500,$A30,Inspections!$B$2:$B$500,($C30&amp;"*"),Inspections!$U$2:$U$500,"REPLACE"))</f>
        <v/>
      </c>
      <c r="G30" s="16">
        <f>IF($C30="","",COUNTIFS(Inspections!$E$2:$E$500,$A30,Inspections!$B$2:$B$500,($C30&amp;"*"),Inspections!$U$2:$U$500,"WATCH"))</f>
        <v/>
      </c>
      <c r="H30" s="16">
        <f>IF($C30="","",COUNTIFS(Inspections!$E$2:$E$500,$A30,Inspections!$B$2:$B$500,($C30&amp;"*"),Inspections!$U$2:$U$500,"OK"))</f>
        <v/>
      </c>
      <c r="I30" s="16">
        <f>IF($C30="","",IFERROR(_xlfn.MINIFS(Inspections!$R$2:$R$500,Inspections!$E$2:$E$500,$A30,Inspections!$B$2:$B$500,($C30&amp;"*")),""))</f>
        <v/>
      </c>
      <c r="J30" s="16">
        <f>IF($I30="","",IFERROR(INDEX(Inspections!$J$2:$J$500,SUMPRODUCT(MAX((Inspections!$E$2:$E$500=$A30)*(LEFT(Inspections!$B$2:$B$500,10)=$C30)*(Inspections!$R$2:$R$500=$I30)*(ROW(Inspections!$B$2:$B$500)-1)))),""))</f>
        <v/>
      </c>
      <c r="K30" s="11">
        <f>IF($C30="","",IF($F30&gt;0,"Replace "&amp;$F30&amp;" tire(s) now",IF($G30&gt;0,"Schedule: "&amp;$G30&amp;" tire(s) near minimum","OK")))</f>
        <v/>
      </c>
    </row>
    <row r="31">
      <c r="A31" s="15" t="n"/>
      <c r="B31" s="11">
        <f>IF($A31="","",IFERROR(INDEX(Inspections!$D$2:$D$500,SUMPRODUCT(MAX((Inspections!$E$2:$E$500=$A31)*(LEFT(Inspections!$B$2:$B$500,10)=$C31)*(ROW(Inspections!$B$2:$B$500)-1)))),""))</f>
        <v/>
      </c>
      <c r="C31" s="16">
        <f>IF($A31="","",IF(COUNTIFS(Inspections!$E$2:$E$500,$A31)=0,"",IFERROR(TEXT(SUMPRODUCT(MAX((Inspections!$E$2:$E$500=$A31)*IFERROR(DATEVALUE(LEFT(Inspections!$B$2:$B$500,10)),0))),"YYYY-MM-DD"),"")))</f>
        <v/>
      </c>
      <c r="D31" s="17">
        <f>IF($C31="","",IFERROR(INDEX(Inspections!$H$2:$H$500,SUMPRODUCT(MAX((Inspections!$E$2:$E$500=$A31)*(LEFT(Inspections!$B$2:$B$500,10)=$C31)*(ROW(Inspections!$B$2:$B$500)-1)))),""))</f>
        <v/>
      </c>
      <c r="E31" s="16">
        <f>IF($C31="","",COUNTIFS(Inspections!$E$2:$E$500,$A31,Inspections!$B$2:$B$500,($C31&amp;"*")))</f>
        <v/>
      </c>
      <c r="F31" s="16">
        <f>IF($C31="","",COUNTIFS(Inspections!$E$2:$E$500,$A31,Inspections!$B$2:$B$500,($C31&amp;"*"),Inspections!$U$2:$U$500,"REPLACE"))</f>
        <v/>
      </c>
      <c r="G31" s="16">
        <f>IF($C31="","",COUNTIFS(Inspections!$E$2:$E$500,$A31,Inspections!$B$2:$B$500,($C31&amp;"*"),Inspections!$U$2:$U$500,"WATCH"))</f>
        <v/>
      </c>
      <c r="H31" s="16">
        <f>IF($C31="","",COUNTIFS(Inspections!$E$2:$E$500,$A31,Inspections!$B$2:$B$500,($C31&amp;"*"),Inspections!$U$2:$U$500,"OK"))</f>
        <v/>
      </c>
      <c r="I31" s="16">
        <f>IF($C31="","",IFERROR(_xlfn.MINIFS(Inspections!$R$2:$R$500,Inspections!$E$2:$E$500,$A31,Inspections!$B$2:$B$500,($C31&amp;"*")),""))</f>
        <v/>
      </c>
      <c r="J31" s="16">
        <f>IF($I31="","",IFERROR(INDEX(Inspections!$J$2:$J$500,SUMPRODUCT(MAX((Inspections!$E$2:$E$500=$A31)*(LEFT(Inspections!$B$2:$B$500,10)=$C31)*(Inspections!$R$2:$R$500=$I31)*(ROW(Inspections!$B$2:$B$500)-1)))),""))</f>
        <v/>
      </c>
      <c r="K31" s="11">
        <f>IF($C31="","",IF($F31&gt;0,"Replace "&amp;$F31&amp;" tire(s) now",IF($G31&gt;0,"Schedule: "&amp;$G31&amp;" tire(s) near minimum","OK")))</f>
        <v/>
      </c>
    </row>
    <row r="32">
      <c r="A32" s="15" t="n"/>
      <c r="B32" s="11">
        <f>IF($A32="","",IFERROR(INDEX(Inspections!$D$2:$D$500,SUMPRODUCT(MAX((Inspections!$E$2:$E$500=$A32)*(LEFT(Inspections!$B$2:$B$500,10)=$C32)*(ROW(Inspections!$B$2:$B$500)-1)))),""))</f>
        <v/>
      </c>
      <c r="C32" s="16">
        <f>IF($A32="","",IF(COUNTIFS(Inspections!$E$2:$E$500,$A32)=0,"",IFERROR(TEXT(SUMPRODUCT(MAX((Inspections!$E$2:$E$500=$A32)*IFERROR(DATEVALUE(LEFT(Inspections!$B$2:$B$500,10)),0))),"YYYY-MM-DD"),"")))</f>
        <v/>
      </c>
      <c r="D32" s="17">
        <f>IF($C32="","",IFERROR(INDEX(Inspections!$H$2:$H$500,SUMPRODUCT(MAX((Inspections!$E$2:$E$500=$A32)*(LEFT(Inspections!$B$2:$B$500,10)=$C32)*(ROW(Inspections!$B$2:$B$500)-1)))),""))</f>
        <v/>
      </c>
      <c r="E32" s="16">
        <f>IF($C32="","",COUNTIFS(Inspections!$E$2:$E$500,$A32,Inspections!$B$2:$B$500,($C32&amp;"*")))</f>
        <v/>
      </c>
      <c r="F32" s="16">
        <f>IF($C32="","",COUNTIFS(Inspections!$E$2:$E$500,$A32,Inspections!$B$2:$B$500,($C32&amp;"*"),Inspections!$U$2:$U$500,"REPLACE"))</f>
        <v/>
      </c>
      <c r="G32" s="16">
        <f>IF($C32="","",COUNTIFS(Inspections!$E$2:$E$500,$A32,Inspections!$B$2:$B$500,($C32&amp;"*"),Inspections!$U$2:$U$500,"WATCH"))</f>
        <v/>
      </c>
      <c r="H32" s="16">
        <f>IF($C32="","",COUNTIFS(Inspections!$E$2:$E$500,$A32,Inspections!$B$2:$B$500,($C32&amp;"*"),Inspections!$U$2:$U$500,"OK"))</f>
        <v/>
      </c>
      <c r="I32" s="16">
        <f>IF($C32="","",IFERROR(_xlfn.MINIFS(Inspections!$R$2:$R$500,Inspections!$E$2:$E$500,$A32,Inspections!$B$2:$B$500,($C32&amp;"*")),""))</f>
        <v/>
      </c>
      <c r="J32" s="16">
        <f>IF($I32="","",IFERROR(INDEX(Inspections!$J$2:$J$500,SUMPRODUCT(MAX((Inspections!$E$2:$E$500=$A32)*(LEFT(Inspections!$B$2:$B$500,10)=$C32)*(Inspections!$R$2:$R$500=$I32)*(ROW(Inspections!$B$2:$B$500)-1)))),""))</f>
        <v/>
      </c>
      <c r="K32" s="11">
        <f>IF($C32="","",IF($F32&gt;0,"Replace "&amp;$F32&amp;" tire(s) now",IF($G32&gt;0,"Schedule: "&amp;$G32&amp;" tire(s) near minimum","OK")))</f>
        <v/>
      </c>
    </row>
    <row r="33">
      <c r="A33" s="15" t="n"/>
      <c r="B33" s="11">
        <f>IF($A33="","",IFERROR(INDEX(Inspections!$D$2:$D$500,SUMPRODUCT(MAX((Inspections!$E$2:$E$500=$A33)*(LEFT(Inspections!$B$2:$B$500,10)=$C33)*(ROW(Inspections!$B$2:$B$500)-1)))),""))</f>
        <v/>
      </c>
      <c r="C33" s="16">
        <f>IF($A33="","",IF(COUNTIFS(Inspections!$E$2:$E$500,$A33)=0,"",IFERROR(TEXT(SUMPRODUCT(MAX((Inspections!$E$2:$E$500=$A33)*IFERROR(DATEVALUE(LEFT(Inspections!$B$2:$B$500,10)),0))),"YYYY-MM-DD"),"")))</f>
        <v/>
      </c>
      <c r="D33" s="17">
        <f>IF($C33="","",IFERROR(INDEX(Inspections!$H$2:$H$500,SUMPRODUCT(MAX((Inspections!$E$2:$E$500=$A33)*(LEFT(Inspections!$B$2:$B$500,10)=$C33)*(ROW(Inspections!$B$2:$B$500)-1)))),""))</f>
        <v/>
      </c>
      <c r="E33" s="16">
        <f>IF($C33="","",COUNTIFS(Inspections!$E$2:$E$500,$A33,Inspections!$B$2:$B$500,($C33&amp;"*")))</f>
        <v/>
      </c>
      <c r="F33" s="16">
        <f>IF($C33="","",COUNTIFS(Inspections!$E$2:$E$500,$A33,Inspections!$B$2:$B$500,($C33&amp;"*"),Inspections!$U$2:$U$500,"REPLACE"))</f>
        <v/>
      </c>
      <c r="G33" s="16">
        <f>IF($C33="","",COUNTIFS(Inspections!$E$2:$E$500,$A33,Inspections!$B$2:$B$500,($C33&amp;"*"),Inspections!$U$2:$U$500,"WATCH"))</f>
        <v/>
      </c>
      <c r="H33" s="16">
        <f>IF($C33="","",COUNTIFS(Inspections!$E$2:$E$500,$A33,Inspections!$B$2:$B$500,($C33&amp;"*"),Inspections!$U$2:$U$500,"OK"))</f>
        <v/>
      </c>
      <c r="I33" s="16">
        <f>IF($C33="","",IFERROR(_xlfn.MINIFS(Inspections!$R$2:$R$500,Inspections!$E$2:$E$500,$A33,Inspections!$B$2:$B$500,($C33&amp;"*")),""))</f>
        <v/>
      </c>
      <c r="J33" s="16">
        <f>IF($I33="","",IFERROR(INDEX(Inspections!$J$2:$J$500,SUMPRODUCT(MAX((Inspections!$E$2:$E$500=$A33)*(LEFT(Inspections!$B$2:$B$500,10)=$C33)*(Inspections!$R$2:$R$500=$I33)*(ROW(Inspections!$B$2:$B$500)-1)))),""))</f>
        <v/>
      </c>
      <c r="K33" s="11">
        <f>IF($C33="","",IF($F33&gt;0,"Replace "&amp;$F33&amp;" tire(s) now",IF($G33&gt;0,"Schedule: "&amp;$G33&amp;" tire(s) near minimum","OK")))</f>
        <v/>
      </c>
    </row>
    <row r="34">
      <c r="A34" s="15" t="n"/>
      <c r="B34" s="11">
        <f>IF($A34="","",IFERROR(INDEX(Inspections!$D$2:$D$500,SUMPRODUCT(MAX((Inspections!$E$2:$E$500=$A34)*(LEFT(Inspections!$B$2:$B$500,10)=$C34)*(ROW(Inspections!$B$2:$B$500)-1)))),""))</f>
        <v/>
      </c>
      <c r="C34" s="16">
        <f>IF($A34="","",IF(COUNTIFS(Inspections!$E$2:$E$500,$A34)=0,"",IFERROR(TEXT(SUMPRODUCT(MAX((Inspections!$E$2:$E$500=$A34)*IFERROR(DATEVALUE(LEFT(Inspections!$B$2:$B$500,10)),0))),"YYYY-MM-DD"),"")))</f>
        <v/>
      </c>
      <c r="D34" s="17">
        <f>IF($C34="","",IFERROR(INDEX(Inspections!$H$2:$H$500,SUMPRODUCT(MAX((Inspections!$E$2:$E$500=$A34)*(LEFT(Inspections!$B$2:$B$500,10)=$C34)*(ROW(Inspections!$B$2:$B$500)-1)))),""))</f>
        <v/>
      </c>
      <c r="E34" s="16">
        <f>IF($C34="","",COUNTIFS(Inspections!$E$2:$E$500,$A34,Inspections!$B$2:$B$500,($C34&amp;"*")))</f>
        <v/>
      </c>
      <c r="F34" s="16">
        <f>IF($C34="","",COUNTIFS(Inspections!$E$2:$E$500,$A34,Inspections!$B$2:$B$500,($C34&amp;"*"),Inspections!$U$2:$U$500,"REPLACE"))</f>
        <v/>
      </c>
      <c r="G34" s="16">
        <f>IF($C34="","",COUNTIFS(Inspections!$E$2:$E$500,$A34,Inspections!$B$2:$B$500,($C34&amp;"*"),Inspections!$U$2:$U$500,"WATCH"))</f>
        <v/>
      </c>
      <c r="H34" s="16">
        <f>IF($C34="","",COUNTIFS(Inspections!$E$2:$E$500,$A34,Inspections!$B$2:$B$500,($C34&amp;"*"),Inspections!$U$2:$U$500,"OK"))</f>
        <v/>
      </c>
      <c r="I34" s="16">
        <f>IF($C34="","",IFERROR(_xlfn.MINIFS(Inspections!$R$2:$R$500,Inspections!$E$2:$E$500,$A34,Inspections!$B$2:$B$500,($C34&amp;"*")),""))</f>
        <v/>
      </c>
      <c r="J34" s="16">
        <f>IF($I34="","",IFERROR(INDEX(Inspections!$J$2:$J$500,SUMPRODUCT(MAX((Inspections!$E$2:$E$500=$A34)*(LEFT(Inspections!$B$2:$B$500,10)=$C34)*(Inspections!$R$2:$R$500=$I34)*(ROW(Inspections!$B$2:$B$500)-1)))),""))</f>
        <v/>
      </c>
      <c r="K34" s="11">
        <f>IF($C34="","",IF($F34&gt;0,"Replace "&amp;$F34&amp;" tire(s) now",IF($G34&gt;0,"Schedule: "&amp;$G34&amp;" tire(s) near minimum","OK")))</f>
        <v/>
      </c>
    </row>
    <row r="35">
      <c r="A35" s="15" t="n"/>
      <c r="B35" s="11">
        <f>IF($A35="","",IFERROR(INDEX(Inspections!$D$2:$D$500,SUMPRODUCT(MAX((Inspections!$E$2:$E$500=$A35)*(LEFT(Inspections!$B$2:$B$500,10)=$C35)*(ROW(Inspections!$B$2:$B$500)-1)))),""))</f>
        <v/>
      </c>
      <c r="C35" s="16">
        <f>IF($A35="","",IF(COUNTIFS(Inspections!$E$2:$E$500,$A35)=0,"",IFERROR(TEXT(SUMPRODUCT(MAX((Inspections!$E$2:$E$500=$A35)*IFERROR(DATEVALUE(LEFT(Inspections!$B$2:$B$500,10)),0))),"YYYY-MM-DD"),"")))</f>
        <v/>
      </c>
      <c r="D35" s="17">
        <f>IF($C35="","",IFERROR(INDEX(Inspections!$H$2:$H$500,SUMPRODUCT(MAX((Inspections!$E$2:$E$500=$A35)*(LEFT(Inspections!$B$2:$B$500,10)=$C35)*(ROW(Inspections!$B$2:$B$500)-1)))),""))</f>
        <v/>
      </c>
      <c r="E35" s="16">
        <f>IF($C35="","",COUNTIFS(Inspections!$E$2:$E$500,$A35,Inspections!$B$2:$B$500,($C35&amp;"*")))</f>
        <v/>
      </c>
      <c r="F35" s="16">
        <f>IF($C35="","",COUNTIFS(Inspections!$E$2:$E$500,$A35,Inspections!$B$2:$B$500,($C35&amp;"*"),Inspections!$U$2:$U$500,"REPLACE"))</f>
        <v/>
      </c>
      <c r="G35" s="16">
        <f>IF($C35="","",COUNTIFS(Inspections!$E$2:$E$500,$A35,Inspections!$B$2:$B$500,($C35&amp;"*"),Inspections!$U$2:$U$500,"WATCH"))</f>
        <v/>
      </c>
      <c r="H35" s="16">
        <f>IF($C35="","",COUNTIFS(Inspections!$E$2:$E$500,$A35,Inspections!$B$2:$B$500,($C35&amp;"*"),Inspections!$U$2:$U$500,"OK"))</f>
        <v/>
      </c>
      <c r="I35" s="16">
        <f>IF($C35="","",IFERROR(_xlfn.MINIFS(Inspections!$R$2:$R$500,Inspections!$E$2:$E$500,$A35,Inspections!$B$2:$B$500,($C35&amp;"*")),""))</f>
        <v/>
      </c>
      <c r="J35" s="16">
        <f>IF($I35="","",IFERROR(INDEX(Inspections!$J$2:$J$500,SUMPRODUCT(MAX((Inspections!$E$2:$E$500=$A35)*(LEFT(Inspections!$B$2:$B$500,10)=$C35)*(Inspections!$R$2:$R$500=$I35)*(ROW(Inspections!$B$2:$B$500)-1)))),""))</f>
        <v/>
      </c>
      <c r="K35" s="11">
        <f>IF($C35="","",IF($F35&gt;0,"Replace "&amp;$F35&amp;" tire(s) now",IF($G35&gt;0,"Schedule: "&amp;$G35&amp;" tire(s) near minimum","OK")))</f>
        <v/>
      </c>
    </row>
    <row r="36">
      <c r="A36" s="15" t="n"/>
      <c r="B36" s="11">
        <f>IF($A36="","",IFERROR(INDEX(Inspections!$D$2:$D$500,SUMPRODUCT(MAX((Inspections!$E$2:$E$500=$A36)*(LEFT(Inspections!$B$2:$B$500,10)=$C36)*(ROW(Inspections!$B$2:$B$500)-1)))),""))</f>
        <v/>
      </c>
      <c r="C36" s="16">
        <f>IF($A36="","",IF(COUNTIFS(Inspections!$E$2:$E$500,$A36)=0,"",IFERROR(TEXT(SUMPRODUCT(MAX((Inspections!$E$2:$E$500=$A36)*IFERROR(DATEVALUE(LEFT(Inspections!$B$2:$B$500,10)),0))),"YYYY-MM-DD"),"")))</f>
        <v/>
      </c>
      <c r="D36" s="17">
        <f>IF($C36="","",IFERROR(INDEX(Inspections!$H$2:$H$500,SUMPRODUCT(MAX((Inspections!$E$2:$E$500=$A36)*(LEFT(Inspections!$B$2:$B$500,10)=$C36)*(ROW(Inspections!$B$2:$B$500)-1)))),""))</f>
        <v/>
      </c>
      <c r="E36" s="16">
        <f>IF($C36="","",COUNTIFS(Inspections!$E$2:$E$500,$A36,Inspections!$B$2:$B$500,($C36&amp;"*")))</f>
        <v/>
      </c>
      <c r="F36" s="16">
        <f>IF($C36="","",COUNTIFS(Inspections!$E$2:$E$500,$A36,Inspections!$B$2:$B$500,($C36&amp;"*"),Inspections!$U$2:$U$500,"REPLACE"))</f>
        <v/>
      </c>
      <c r="G36" s="16">
        <f>IF($C36="","",COUNTIFS(Inspections!$E$2:$E$500,$A36,Inspections!$B$2:$B$500,($C36&amp;"*"),Inspections!$U$2:$U$500,"WATCH"))</f>
        <v/>
      </c>
      <c r="H36" s="16">
        <f>IF($C36="","",COUNTIFS(Inspections!$E$2:$E$500,$A36,Inspections!$B$2:$B$500,($C36&amp;"*"),Inspections!$U$2:$U$500,"OK"))</f>
        <v/>
      </c>
      <c r="I36" s="16">
        <f>IF($C36="","",IFERROR(_xlfn.MINIFS(Inspections!$R$2:$R$500,Inspections!$E$2:$E$500,$A36,Inspections!$B$2:$B$500,($C36&amp;"*")),""))</f>
        <v/>
      </c>
      <c r="J36" s="16">
        <f>IF($I36="","",IFERROR(INDEX(Inspections!$J$2:$J$500,SUMPRODUCT(MAX((Inspections!$E$2:$E$500=$A36)*(LEFT(Inspections!$B$2:$B$500,10)=$C36)*(Inspections!$R$2:$R$500=$I36)*(ROW(Inspections!$B$2:$B$500)-1)))),""))</f>
        <v/>
      </c>
      <c r="K36" s="11">
        <f>IF($C36="","",IF($F36&gt;0,"Replace "&amp;$F36&amp;" tire(s) now",IF($G36&gt;0,"Schedule: "&amp;$G36&amp;" tire(s) near minimum","OK")))</f>
        <v/>
      </c>
    </row>
    <row r="37">
      <c r="A37" s="15" t="n"/>
      <c r="B37" s="11">
        <f>IF($A37="","",IFERROR(INDEX(Inspections!$D$2:$D$500,SUMPRODUCT(MAX((Inspections!$E$2:$E$500=$A37)*(LEFT(Inspections!$B$2:$B$500,10)=$C37)*(ROW(Inspections!$B$2:$B$500)-1)))),""))</f>
        <v/>
      </c>
      <c r="C37" s="16">
        <f>IF($A37="","",IF(COUNTIFS(Inspections!$E$2:$E$500,$A37)=0,"",IFERROR(TEXT(SUMPRODUCT(MAX((Inspections!$E$2:$E$500=$A37)*IFERROR(DATEVALUE(LEFT(Inspections!$B$2:$B$500,10)),0))),"YYYY-MM-DD"),"")))</f>
        <v/>
      </c>
      <c r="D37" s="17">
        <f>IF($C37="","",IFERROR(INDEX(Inspections!$H$2:$H$500,SUMPRODUCT(MAX((Inspections!$E$2:$E$500=$A37)*(LEFT(Inspections!$B$2:$B$500,10)=$C37)*(ROW(Inspections!$B$2:$B$500)-1)))),""))</f>
        <v/>
      </c>
      <c r="E37" s="16">
        <f>IF($C37="","",COUNTIFS(Inspections!$E$2:$E$500,$A37,Inspections!$B$2:$B$500,($C37&amp;"*")))</f>
        <v/>
      </c>
      <c r="F37" s="16">
        <f>IF($C37="","",COUNTIFS(Inspections!$E$2:$E$500,$A37,Inspections!$B$2:$B$500,($C37&amp;"*"),Inspections!$U$2:$U$500,"REPLACE"))</f>
        <v/>
      </c>
      <c r="G37" s="16">
        <f>IF($C37="","",COUNTIFS(Inspections!$E$2:$E$500,$A37,Inspections!$B$2:$B$500,($C37&amp;"*"),Inspections!$U$2:$U$500,"WATCH"))</f>
        <v/>
      </c>
      <c r="H37" s="16">
        <f>IF($C37="","",COUNTIFS(Inspections!$E$2:$E$500,$A37,Inspections!$B$2:$B$500,($C37&amp;"*"),Inspections!$U$2:$U$500,"OK"))</f>
        <v/>
      </c>
      <c r="I37" s="16">
        <f>IF($C37="","",IFERROR(_xlfn.MINIFS(Inspections!$R$2:$R$500,Inspections!$E$2:$E$500,$A37,Inspections!$B$2:$B$500,($C37&amp;"*")),""))</f>
        <v/>
      </c>
      <c r="J37" s="16">
        <f>IF($I37="","",IFERROR(INDEX(Inspections!$J$2:$J$500,SUMPRODUCT(MAX((Inspections!$E$2:$E$500=$A37)*(LEFT(Inspections!$B$2:$B$500,10)=$C37)*(Inspections!$R$2:$R$500=$I37)*(ROW(Inspections!$B$2:$B$500)-1)))),""))</f>
        <v/>
      </c>
      <c r="K37" s="11">
        <f>IF($C37="","",IF($F37&gt;0,"Replace "&amp;$F37&amp;" tire(s) now",IF($G37&gt;0,"Schedule: "&amp;$G37&amp;" tire(s) near minimum","OK")))</f>
        <v/>
      </c>
    </row>
    <row r="38">
      <c r="A38" s="15" t="n"/>
      <c r="B38" s="11">
        <f>IF($A38="","",IFERROR(INDEX(Inspections!$D$2:$D$500,SUMPRODUCT(MAX((Inspections!$E$2:$E$500=$A38)*(LEFT(Inspections!$B$2:$B$500,10)=$C38)*(ROW(Inspections!$B$2:$B$500)-1)))),""))</f>
        <v/>
      </c>
      <c r="C38" s="16">
        <f>IF($A38="","",IF(COUNTIFS(Inspections!$E$2:$E$500,$A38)=0,"",IFERROR(TEXT(SUMPRODUCT(MAX((Inspections!$E$2:$E$500=$A38)*IFERROR(DATEVALUE(LEFT(Inspections!$B$2:$B$500,10)),0))),"YYYY-MM-DD"),"")))</f>
        <v/>
      </c>
      <c r="D38" s="17">
        <f>IF($C38="","",IFERROR(INDEX(Inspections!$H$2:$H$500,SUMPRODUCT(MAX((Inspections!$E$2:$E$500=$A38)*(LEFT(Inspections!$B$2:$B$500,10)=$C38)*(ROW(Inspections!$B$2:$B$500)-1)))),""))</f>
        <v/>
      </c>
      <c r="E38" s="16">
        <f>IF($C38="","",COUNTIFS(Inspections!$E$2:$E$500,$A38,Inspections!$B$2:$B$500,($C38&amp;"*")))</f>
        <v/>
      </c>
      <c r="F38" s="16">
        <f>IF($C38="","",COUNTIFS(Inspections!$E$2:$E$500,$A38,Inspections!$B$2:$B$500,($C38&amp;"*"),Inspections!$U$2:$U$500,"REPLACE"))</f>
        <v/>
      </c>
      <c r="G38" s="16">
        <f>IF($C38="","",COUNTIFS(Inspections!$E$2:$E$500,$A38,Inspections!$B$2:$B$500,($C38&amp;"*"),Inspections!$U$2:$U$500,"WATCH"))</f>
        <v/>
      </c>
      <c r="H38" s="16">
        <f>IF($C38="","",COUNTIFS(Inspections!$E$2:$E$500,$A38,Inspections!$B$2:$B$500,($C38&amp;"*"),Inspections!$U$2:$U$500,"OK"))</f>
        <v/>
      </c>
      <c r="I38" s="16">
        <f>IF($C38="","",IFERROR(_xlfn.MINIFS(Inspections!$R$2:$R$500,Inspections!$E$2:$E$500,$A38,Inspections!$B$2:$B$500,($C38&amp;"*")),""))</f>
        <v/>
      </c>
      <c r="J38" s="16">
        <f>IF($I38="","",IFERROR(INDEX(Inspections!$J$2:$J$500,SUMPRODUCT(MAX((Inspections!$E$2:$E$500=$A38)*(LEFT(Inspections!$B$2:$B$500,10)=$C38)*(Inspections!$R$2:$R$500=$I38)*(ROW(Inspections!$B$2:$B$500)-1)))),""))</f>
        <v/>
      </c>
      <c r="K38" s="11">
        <f>IF($C38="","",IF($F38&gt;0,"Replace "&amp;$F38&amp;" tire(s) now",IF($G38&gt;0,"Schedule: "&amp;$G38&amp;" tire(s) near minimum","OK")))</f>
        <v/>
      </c>
    </row>
    <row r="39">
      <c r="A39" s="15" t="n"/>
      <c r="B39" s="11">
        <f>IF($A39="","",IFERROR(INDEX(Inspections!$D$2:$D$500,SUMPRODUCT(MAX((Inspections!$E$2:$E$500=$A39)*(LEFT(Inspections!$B$2:$B$500,10)=$C39)*(ROW(Inspections!$B$2:$B$500)-1)))),""))</f>
        <v/>
      </c>
      <c r="C39" s="16">
        <f>IF($A39="","",IF(COUNTIFS(Inspections!$E$2:$E$500,$A39)=0,"",IFERROR(TEXT(SUMPRODUCT(MAX((Inspections!$E$2:$E$500=$A39)*IFERROR(DATEVALUE(LEFT(Inspections!$B$2:$B$500,10)),0))),"YYYY-MM-DD"),"")))</f>
        <v/>
      </c>
      <c r="D39" s="17">
        <f>IF($C39="","",IFERROR(INDEX(Inspections!$H$2:$H$500,SUMPRODUCT(MAX((Inspections!$E$2:$E$500=$A39)*(LEFT(Inspections!$B$2:$B$500,10)=$C39)*(ROW(Inspections!$B$2:$B$500)-1)))),""))</f>
        <v/>
      </c>
      <c r="E39" s="16">
        <f>IF($C39="","",COUNTIFS(Inspections!$E$2:$E$500,$A39,Inspections!$B$2:$B$500,($C39&amp;"*")))</f>
        <v/>
      </c>
      <c r="F39" s="16">
        <f>IF($C39="","",COUNTIFS(Inspections!$E$2:$E$500,$A39,Inspections!$B$2:$B$500,($C39&amp;"*"),Inspections!$U$2:$U$500,"REPLACE"))</f>
        <v/>
      </c>
      <c r="G39" s="16">
        <f>IF($C39="","",COUNTIFS(Inspections!$E$2:$E$500,$A39,Inspections!$B$2:$B$500,($C39&amp;"*"),Inspections!$U$2:$U$500,"WATCH"))</f>
        <v/>
      </c>
      <c r="H39" s="16">
        <f>IF($C39="","",COUNTIFS(Inspections!$E$2:$E$500,$A39,Inspections!$B$2:$B$500,($C39&amp;"*"),Inspections!$U$2:$U$500,"OK"))</f>
        <v/>
      </c>
      <c r="I39" s="16">
        <f>IF($C39="","",IFERROR(_xlfn.MINIFS(Inspections!$R$2:$R$500,Inspections!$E$2:$E$500,$A39,Inspections!$B$2:$B$500,($C39&amp;"*")),""))</f>
        <v/>
      </c>
      <c r="J39" s="16">
        <f>IF($I39="","",IFERROR(INDEX(Inspections!$J$2:$J$500,SUMPRODUCT(MAX((Inspections!$E$2:$E$500=$A39)*(LEFT(Inspections!$B$2:$B$500,10)=$C39)*(Inspections!$R$2:$R$500=$I39)*(ROW(Inspections!$B$2:$B$500)-1)))),""))</f>
        <v/>
      </c>
      <c r="K39" s="11">
        <f>IF($C39="","",IF($F39&gt;0,"Replace "&amp;$F39&amp;" tire(s) now",IF($G39&gt;0,"Schedule: "&amp;$G39&amp;" tire(s) near minimum","OK")))</f>
        <v/>
      </c>
    </row>
    <row r="40">
      <c r="A40" s="15" t="n"/>
      <c r="B40" s="11">
        <f>IF($A40="","",IFERROR(INDEX(Inspections!$D$2:$D$500,SUMPRODUCT(MAX((Inspections!$E$2:$E$500=$A40)*(LEFT(Inspections!$B$2:$B$500,10)=$C40)*(ROW(Inspections!$B$2:$B$500)-1)))),""))</f>
        <v/>
      </c>
      <c r="C40" s="16">
        <f>IF($A40="","",IF(COUNTIFS(Inspections!$E$2:$E$500,$A40)=0,"",IFERROR(TEXT(SUMPRODUCT(MAX((Inspections!$E$2:$E$500=$A40)*IFERROR(DATEVALUE(LEFT(Inspections!$B$2:$B$500,10)),0))),"YYYY-MM-DD"),"")))</f>
        <v/>
      </c>
      <c r="D40" s="17">
        <f>IF($C40="","",IFERROR(INDEX(Inspections!$H$2:$H$500,SUMPRODUCT(MAX((Inspections!$E$2:$E$500=$A40)*(LEFT(Inspections!$B$2:$B$500,10)=$C40)*(ROW(Inspections!$B$2:$B$500)-1)))),""))</f>
        <v/>
      </c>
      <c r="E40" s="16">
        <f>IF($C40="","",COUNTIFS(Inspections!$E$2:$E$500,$A40,Inspections!$B$2:$B$500,($C40&amp;"*")))</f>
        <v/>
      </c>
      <c r="F40" s="16">
        <f>IF($C40="","",COUNTIFS(Inspections!$E$2:$E$500,$A40,Inspections!$B$2:$B$500,($C40&amp;"*"),Inspections!$U$2:$U$500,"REPLACE"))</f>
        <v/>
      </c>
      <c r="G40" s="16">
        <f>IF($C40="","",COUNTIFS(Inspections!$E$2:$E$500,$A40,Inspections!$B$2:$B$500,($C40&amp;"*"),Inspections!$U$2:$U$500,"WATCH"))</f>
        <v/>
      </c>
      <c r="H40" s="16">
        <f>IF($C40="","",COUNTIFS(Inspections!$E$2:$E$500,$A40,Inspections!$B$2:$B$500,($C40&amp;"*"),Inspections!$U$2:$U$500,"OK"))</f>
        <v/>
      </c>
      <c r="I40" s="16">
        <f>IF($C40="","",IFERROR(_xlfn.MINIFS(Inspections!$R$2:$R$500,Inspections!$E$2:$E$500,$A40,Inspections!$B$2:$B$500,($C40&amp;"*")),""))</f>
        <v/>
      </c>
      <c r="J40" s="16">
        <f>IF($I40="","",IFERROR(INDEX(Inspections!$J$2:$J$500,SUMPRODUCT(MAX((Inspections!$E$2:$E$500=$A40)*(LEFT(Inspections!$B$2:$B$500,10)=$C40)*(Inspections!$R$2:$R$500=$I40)*(ROW(Inspections!$B$2:$B$500)-1)))),""))</f>
        <v/>
      </c>
      <c r="K40" s="11">
        <f>IF($C40="","",IF($F40&gt;0,"Replace "&amp;$F40&amp;" tire(s) now",IF($G40&gt;0,"Schedule: "&amp;$G40&amp;" tire(s) near minimum","OK")))</f>
        <v/>
      </c>
    </row>
    <row r="41">
      <c r="A41" s="15" t="n"/>
      <c r="B41" s="11">
        <f>IF($A41="","",IFERROR(INDEX(Inspections!$D$2:$D$500,SUMPRODUCT(MAX((Inspections!$E$2:$E$500=$A41)*(LEFT(Inspections!$B$2:$B$500,10)=$C41)*(ROW(Inspections!$B$2:$B$500)-1)))),""))</f>
        <v/>
      </c>
      <c r="C41" s="16">
        <f>IF($A41="","",IF(COUNTIFS(Inspections!$E$2:$E$500,$A41)=0,"",IFERROR(TEXT(SUMPRODUCT(MAX((Inspections!$E$2:$E$500=$A41)*IFERROR(DATEVALUE(LEFT(Inspections!$B$2:$B$500,10)),0))),"YYYY-MM-DD"),"")))</f>
        <v/>
      </c>
      <c r="D41" s="17">
        <f>IF($C41="","",IFERROR(INDEX(Inspections!$H$2:$H$500,SUMPRODUCT(MAX((Inspections!$E$2:$E$500=$A41)*(LEFT(Inspections!$B$2:$B$500,10)=$C41)*(ROW(Inspections!$B$2:$B$500)-1)))),""))</f>
        <v/>
      </c>
      <c r="E41" s="16">
        <f>IF($C41="","",COUNTIFS(Inspections!$E$2:$E$500,$A41,Inspections!$B$2:$B$500,($C41&amp;"*")))</f>
        <v/>
      </c>
      <c r="F41" s="16">
        <f>IF($C41="","",COUNTIFS(Inspections!$E$2:$E$500,$A41,Inspections!$B$2:$B$500,($C41&amp;"*"),Inspections!$U$2:$U$500,"REPLACE"))</f>
        <v/>
      </c>
      <c r="G41" s="16">
        <f>IF($C41="","",COUNTIFS(Inspections!$E$2:$E$500,$A41,Inspections!$B$2:$B$500,($C41&amp;"*"),Inspections!$U$2:$U$500,"WATCH"))</f>
        <v/>
      </c>
      <c r="H41" s="16">
        <f>IF($C41="","",COUNTIFS(Inspections!$E$2:$E$500,$A41,Inspections!$B$2:$B$500,($C41&amp;"*"),Inspections!$U$2:$U$500,"OK"))</f>
        <v/>
      </c>
      <c r="I41" s="16">
        <f>IF($C41="","",IFERROR(_xlfn.MINIFS(Inspections!$R$2:$R$500,Inspections!$E$2:$E$500,$A41,Inspections!$B$2:$B$500,($C41&amp;"*")),""))</f>
        <v/>
      </c>
      <c r="J41" s="16">
        <f>IF($I41="","",IFERROR(INDEX(Inspections!$J$2:$J$500,SUMPRODUCT(MAX((Inspections!$E$2:$E$500=$A41)*(LEFT(Inspections!$B$2:$B$500,10)=$C41)*(Inspections!$R$2:$R$500=$I41)*(ROW(Inspections!$B$2:$B$500)-1)))),""))</f>
        <v/>
      </c>
      <c r="K41" s="11">
        <f>IF($C41="","",IF($F41&gt;0,"Replace "&amp;$F41&amp;" tire(s) now",IF($G41&gt;0,"Schedule: "&amp;$G41&amp;" tire(s) near minimum","OK")))</f>
        <v/>
      </c>
    </row>
    <row r="42">
      <c r="A42" s="15" t="n"/>
      <c r="B42" s="11">
        <f>IF($A42="","",IFERROR(INDEX(Inspections!$D$2:$D$500,SUMPRODUCT(MAX((Inspections!$E$2:$E$500=$A42)*(LEFT(Inspections!$B$2:$B$500,10)=$C42)*(ROW(Inspections!$B$2:$B$500)-1)))),""))</f>
        <v/>
      </c>
      <c r="C42" s="16">
        <f>IF($A42="","",IF(COUNTIFS(Inspections!$E$2:$E$500,$A42)=0,"",IFERROR(TEXT(SUMPRODUCT(MAX((Inspections!$E$2:$E$500=$A42)*IFERROR(DATEVALUE(LEFT(Inspections!$B$2:$B$500,10)),0))),"YYYY-MM-DD"),"")))</f>
        <v/>
      </c>
      <c r="D42" s="17">
        <f>IF($C42="","",IFERROR(INDEX(Inspections!$H$2:$H$500,SUMPRODUCT(MAX((Inspections!$E$2:$E$500=$A42)*(LEFT(Inspections!$B$2:$B$500,10)=$C42)*(ROW(Inspections!$B$2:$B$500)-1)))),""))</f>
        <v/>
      </c>
      <c r="E42" s="16">
        <f>IF($C42="","",COUNTIFS(Inspections!$E$2:$E$500,$A42,Inspections!$B$2:$B$500,($C42&amp;"*")))</f>
        <v/>
      </c>
      <c r="F42" s="16">
        <f>IF($C42="","",COUNTIFS(Inspections!$E$2:$E$500,$A42,Inspections!$B$2:$B$500,($C42&amp;"*"),Inspections!$U$2:$U$500,"REPLACE"))</f>
        <v/>
      </c>
      <c r="G42" s="16">
        <f>IF($C42="","",COUNTIFS(Inspections!$E$2:$E$500,$A42,Inspections!$B$2:$B$500,($C42&amp;"*"),Inspections!$U$2:$U$500,"WATCH"))</f>
        <v/>
      </c>
      <c r="H42" s="16">
        <f>IF($C42="","",COUNTIFS(Inspections!$E$2:$E$500,$A42,Inspections!$B$2:$B$500,($C42&amp;"*"),Inspections!$U$2:$U$500,"OK"))</f>
        <v/>
      </c>
      <c r="I42" s="16">
        <f>IF($C42="","",IFERROR(_xlfn.MINIFS(Inspections!$R$2:$R$500,Inspections!$E$2:$E$500,$A42,Inspections!$B$2:$B$500,($C42&amp;"*")),""))</f>
        <v/>
      </c>
      <c r="J42" s="16">
        <f>IF($I42="","",IFERROR(INDEX(Inspections!$J$2:$J$500,SUMPRODUCT(MAX((Inspections!$E$2:$E$500=$A42)*(LEFT(Inspections!$B$2:$B$500,10)=$C42)*(Inspections!$R$2:$R$500=$I42)*(ROW(Inspections!$B$2:$B$500)-1)))),""))</f>
        <v/>
      </c>
      <c r="K42" s="11">
        <f>IF($C42="","",IF($F42&gt;0,"Replace "&amp;$F42&amp;" tire(s) now",IF($G42&gt;0,"Schedule: "&amp;$G42&amp;" tire(s) near minimum","OK")))</f>
        <v/>
      </c>
    </row>
    <row r="43">
      <c r="A43" s="15" t="n"/>
      <c r="B43" s="11">
        <f>IF($A43="","",IFERROR(INDEX(Inspections!$D$2:$D$500,SUMPRODUCT(MAX((Inspections!$E$2:$E$500=$A43)*(LEFT(Inspections!$B$2:$B$500,10)=$C43)*(ROW(Inspections!$B$2:$B$500)-1)))),""))</f>
        <v/>
      </c>
      <c r="C43" s="16">
        <f>IF($A43="","",IF(COUNTIFS(Inspections!$E$2:$E$500,$A43)=0,"",IFERROR(TEXT(SUMPRODUCT(MAX((Inspections!$E$2:$E$500=$A43)*IFERROR(DATEVALUE(LEFT(Inspections!$B$2:$B$500,10)),0))),"YYYY-MM-DD"),"")))</f>
        <v/>
      </c>
      <c r="D43" s="17">
        <f>IF($C43="","",IFERROR(INDEX(Inspections!$H$2:$H$500,SUMPRODUCT(MAX((Inspections!$E$2:$E$500=$A43)*(LEFT(Inspections!$B$2:$B$500,10)=$C43)*(ROW(Inspections!$B$2:$B$500)-1)))),""))</f>
        <v/>
      </c>
      <c r="E43" s="16">
        <f>IF($C43="","",COUNTIFS(Inspections!$E$2:$E$500,$A43,Inspections!$B$2:$B$500,($C43&amp;"*")))</f>
        <v/>
      </c>
      <c r="F43" s="16">
        <f>IF($C43="","",COUNTIFS(Inspections!$E$2:$E$500,$A43,Inspections!$B$2:$B$500,($C43&amp;"*"),Inspections!$U$2:$U$500,"REPLACE"))</f>
        <v/>
      </c>
      <c r="G43" s="16">
        <f>IF($C43="","",COUNTIFS(Inspections!$E$2:$E$500,$A43,Inspections!$B$2:$B$500,($C43&amp;"*"),Inspections!$U$2:$U$500,"WATCH"))</f>
        <v/>
      </c>
      <c r="H43" s="16">
        <f>IF($C43="","",COUNTIFS(Inspections!$E$2:$E$500,$A43,Inspections!$B$2:$B$500,($C43&amp;"*"),Inspections!$U$2:$U$500,"OK"))</f>
        <v/>
      </c>
      <c r="I43" s="16">
        <f>IF($C43="","",IFERROR(_xlfn.MINIFS(Inspections!$R$2:$R$500,Inspections!$E$2:$E$500,$A43,Inspections!$B$2:$B$500,($C43&amp;"*")),""))</f>
        <v/>
      </c>
      <c r="J43" s="16">
        <f>IF($I43="","",IFERROR(INDEX(Inspections!$J$2:$J$500,SUMPRODUCT(MAX((Inspections!$E$2:$E$500=$A43)*(LEFT(Inspections!$B$2:$B$500,10)=$C43)*(Inspections!$R$2:$R$500=$I43)*(ROW(Inspections!$B$2:$B$500)-1)))),""))</f>
        <v/>
      </c>
      <c r="K43" s="11">
        <f>IF($C43="","",IF($F43&gt;0,"Replace "&amp;$F43&amp;" tire(s) now",IF($G43&gt;0,"Schedule: "&amp;$G43&amp;" tire(s) near minimum","OK")))</f>
        <v/>
      </c>
    </row>
    <row r="44">
      <c r="A44" s="15" t="n"/>
      <c r="B44" s="11">
        <f>IF($A44="","",IFERROR(INDEX(Inspections!$D$2:$D$500,SUMPRODUCT(MAX((Inspections!$E$2:$E$500=$A44)*(LEFT(Inspections!$B$2:$B$500,10)=$C44)*(ROW(Inspections!$B$2:$B$500)-1)))),""))</f>
        <v/>
      </c>
      <c r="C44" s="16">
        <f>IF($A44="","",IF(COUNTIFS(Inspections!$E$2:$E$500,$A44)=0,"",IFERROR(TEXT(SUMPRODUCT(MAX((Inspections!$E$2:$E$500=$A44)*IFERROR(DATEVALUE(LEFT(Inspections!$B$2:$B$500,10)),0))),"YYYY-MM-DD"),"")))</f>
        <v/>
      </c>
      <c r="D44" s="17">
        <f>IF($C44="","",IFERROR(INDEX(Inspections!$H$2:$H$500,SUMPRODUCT(MAX((Inspections!$E$2:$E$500=$A44)*(LEFT(Inspections!$B$2:$B$500,10)=$C44)*(ROW(Inspections!$B$2:$B$500)-1)))),""))</f>
        <v/>
      </c>
      <c r="E44" s="16">
        <f>IF($C44="","",COUNTIFS(Inspections!$E$2:$E$500,$A44,Inspections!$B$2:$B$500,($C44&amp;"*")))</f>
        <v/>
      </c>
      <c r="F44" s="16">
        <f>IF($C44="","",COUNTIFS(Inspections!$E$2:$E$500,$A44,Inspections!$B$2:$B$500,($C44&amp;"*"),Inspections!$U$2:$U$500,"REPLACE"))</f>
        <v/>
      </c>
      <c r="G44" s="16">
        <f>IF($C44="","",COUNTIFS(Inspections!$E$2:$E$500,$A44,Inspections!$B$2:$B$500,($C44&amp;"*"),Inspections!$U$2:$U$500,"WATCH"))</f>
        <v/>
      </c>
      <c r="H44" s="16">
        <f>IF($C44="","",COUNTIFS(Inspections!$E$2:$E$500,$A44,Inspections!$B$2:$B$500,($C44&amp;"*"),Inspections!$U$2:$U$500,"OK"))</f>
        <v/>
      </c>
      <c r="I44" s="16">
        <f>IF($C44="","",IFERROR(_xlfn.MINIFS(Inspections!$R$2:$R$500,Inspections!$E$2:$E$500,$A44,Inspections!$B$2:$B$500,($C44&amp;"*")),""))</f>
        <v/>
      </c>
      <c r="J44" s="16">
        <f>IF($I44="","",IFERROR(INDEX(Inspections!$J$2:$J$500,SUMPRODUCT(MAX((Inspections!$E$2:$E$500=$A44)*(LEFT(Inspections!$B$2:$B$500,10)=$C44)*(Inspections!$R$2:$R$500=$I44)*(ROW(Inspections!$B$2:$B$500)-1)))),""))</f>
        <v/>
      </c>
      <c r="K44" s="11">
        <f>IF($C44="","",IF($F44&gt;0,"Replace "&amp;$F44&amp;" tire(s) now",IF($G44&gt;0,"Schedule: "&amp;$G44&amp;" tire(s) near minimum","OK")))</f>
        <v/>
      </c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>
      <c r="A46" s="14" t="inlineStr">
        <is>
          <t>Footnote: all formulas on this tab read Inspections rows 2 to 500. If you append more than 499 inspection rows, edit these formulas and extend 500 to a larger row number, otherwise the extra rows are ignored. Counts, lowest tread and position all use only the unit's most recent inspection date. Legal minimums (Thresholds tab): 4/32 steer, 2/32 drive and trailer - Canada NSC Standard 11 / US FMCSA 49 CFR 393.75.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</sheetData>
  <mergeCells count="2">
    <mergeCell ref="A2:K2"/>
    <mergeCell ref="A46:K48"/>
  </mergeCells>
  <conditionalFormatting sqref="F5:F44">
    <cfRule type="cellIs" priority="1" operator="greaterThan" dxfId="0">
      <formula>0</formula>
    </cfRule>
  </conditionalFormatting>
  <conditionalFormatting sqref="G5:G44"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2026-09-08T19:59:53Z</dcterms:created>
  <dcterms:modified xsi:type="dcterms:W3CDTF">2026-09-08T19:59:53Z</dcterms:modified>
</cp:coreProperties>
</file>
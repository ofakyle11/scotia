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s" sheetId="1" state="visible" r:id="rId1"/>
    <sheet name="Fleet Summary" sheetId="2" state="visible" r:id="rId2"/>
    <sheet name="README" sheetId="3" state="visible" r:id="rId3"/>
    <sheet name="Thresholds" sheetId="4" state="visible" r:id="rId4"/>
  </sheets>
  <definedNames>
    <definedName name="_xlnm._FilterDatabase" localSheetId="0" hidden="1">'Inspections'!$A$1:$AK$2000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555555"/>
      <sz val="9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4" fillId="2" borderId="0" applyAlignment="1" pivotButton="0" quotePrefix="0" xfId="0">
      <alignment horizontal="center" wrapText="1"/>
    </xf>
    <xf numFmtId="0" fontId="5" fillId="3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0" pivotButton="0" quotePrefix="0" xfId="0"/>
  </cellXfs>
  <cellStyles count="1">
    <cellStyle name="Normal" xfId="0" builtinId="0" hidden="0"/>
  </cellStyles>
  <dxfs count="4">
    <dxf>
      <font>
        <name val="Arial"/>
        <b val="1"/>
        <color rgb="007F1D1D"/>
        <sz val="10"/>
      </font>
      <fill>
        <patternFill patternType="solid">
          <fgColor rgb="00FCA5A5"/>
        </patternFill>
      </fill>
    </dxf>
    <dxf>
      <font>
        <name val="Arial"/>
        <color rgb="0078350F"/>
        <sz val="10"/>
      </font>
      <fill>
        <patternFill patternType="solid">
          <fgColor rgb="00FDE68A"/>
        </patternFill>
      </fill>
    </dxf>
    <dxf>
      <font>
        <name val="Arial"/>
        <color rgb="0014532D"/>
        <sz val="10"/>
      </font>
      <fill>
        <patternFill patternType="solid">
          <fgColor rgb="00BBF7D0"/>
        </patternFill>
      </fill>
    </dxf>
    <dxf>
      <fill>
        <patternFill patternType="solid">
          <fgColor rgb="00FDE6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Tread Scanner</author>
  </authors>
  <commentList>
    <comment ref="A2" authorId="0" shapeId="0">
      <text>
        <t>Example row showing the expected format. Delete it after your first real import.
inspection_id is yyyymmdd-hhmm-XXXX and sorts chronologically, which Fleet Summary relies on.</t>
      </text>
    </comment>
  </commentList>
</comments>
</file>

<file path=xl/comments/comment2.xml><?xml version="1.0" encoding="utf-8"?>
<comments xmlns="http://schemas.openxmlformats.org/spreadsheetml/2006/main">
  <authors>
    <author>Tread Scanner</author>
  </authors>
  <commentList>
    <comment ref="B4" authorId="0" shapeId="0">
      <text>
        <t>Source: Canada NSC Standard 11 / US FMCSA 49 CFR 393.75.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3" customWidth="1" min="3" max="3"/>
    <col width="17" customWidth="1" min="4" max="4"/>
    <col width="11" customWidth="1" min="5" max="5"/>
    <col width="10" customWidth="1" min="6" max="6"/>
    <col width="19" customWidth="1" min="7" max="7"/>
    <col width="10" customWidth="1" min="8" max="8"/>
    <col width="12" customWidth="1" min="9" max="9"/>
    <col width="9" customWidth="1" min="10" max="10"/>
    <col width="11" customWidth="1" min="11" max="11"/>
    <col width="10" customWidth="1" min="12" max="12"/>
    <col width="11" customWidth="1" min="13" max="13"/>
    <col width="15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8" customWidth="1" min="20" max="20"/>
    <col width="10" customWidth="1" min="21" max="21"/>
    <col width="8" customWidth="1" min="22" max="22"/>
    <col width="13" customWidth="1" min="23" max="23"/>
    <col width="34" customWidth="1" min="24" max="24"/>
    <col width="10" customWidth="1" min="25" max="25"/>
    <col width="10" customWidth="1" min="26" max="26"/>
    <col width="18" customWidth="1" min="27" max="27"/>
    <col width="13" customWidth="1" min="28" max="28"/>
    <col width="18" customWidth="1" min="29" max="29"/>
    <col width="9" customWidth="1" min="30" max="30"/>
    <col width="11" customWidth="1" min="31" max="31"/>
    <col width="6" customWidth="1" min="32" max="32"/>
    <col width="9" customWidth="1" min="33" max="33"/>
    <col width="9" customWidth="1" min="34" max="34"/>
    <col width="8" customWidth="1" min="35" max="35"/>
    <col width="8" customWidth="1" min="36" max="36"/>
    <col width="9" customWidth="1" min="37" max="37"/>
  </cols>
  <sheetData>
    <row r="1" ht="30" customHeight="1">
      <c r="A1" s="1" t="inlineStr">
        <is>
          <t>inspection_id</t>
        </is>
      </c>
      <c r="B1" s="1" t="inlineStr">
        <is>
          <t>date</t>
        </is>
      </c>
      <c r="C1" s="1" t="inlineStr">
        <is>
          <t>technician</t>
        </is>
      </c>
      <c r="D1" s="1" t="inlineStr">
        <is>
          <t>customer</t>
        </is>
      </c>
      <c r="E1" s="1" t="inlineStr">
        <is>
          <t>unit_number</t>
        </is>
      </c>
      <c r="F1" s="1" t="inlineStr">
        <is>
          <t>plate</t>
        </is>
      </c>
      <c r="G1" s="1" t="inlineStr">
        <is>
          <t>vin</t>
        </is>
      </c>
      <c r="H1" s="1" t="inlineStr">
        <is>
          <t>odometer</t>
        </is>
      </c>
      <c r="I1" s="1" t="inlineStr">
        <is>
          <t>axle_config</t>
        </is>
      </c>
      <c r="J1" s="1" t="inlineStr">
        <is>
          <t>position</t>
        </is>
      </c>
      <c r="K1" s="1" t="inlineStr">
        <is>
          <t>brand</t>
        </is>
      </c>
      <c r="L1" s="1" t="inlineStr">
        <is>
          <t>model</t>
        </is>
      </c>
      <c r="M1" s="1" t="inlineStr">
        <is>
          <t>size</t>
        </is>
      </c>
      <c r="N1" s="1" t="inlineStr">
        <is>
          <t>dot_code</t>
        </is>
      </c>
      <c r="O1" s="1" t="inlineStr">
        <is>
          <t>depth_inner_32nds</t>
        </is>
      </c>
      <c r="P1" s="1" t="inlineStr">
        <is>
          <t>depth_centre_32nds</t>
        </is>
      </c>
      <c r="Q1" s="1" t="inlineStr">
        <is>
          <t>depth_outer_32nds</t>
        </is>
      </c>
      <c r="R1" s="1" t="inlineStr">
        <is>
          <t>depth_min_32nds</t>
        </is>
      </c>
      <c r="S1" s="1" t="inlineStr">
        <is>
          <t>depth_min_mm</t>
        </is>
      </c>
      <c r="T1" s="1" t="inlineStr">
        <is>
          <t>pressure_psi</t>
        </is>
      </c>
      <c r="U1" s="1" t="inlineStr">
        <is>
          <t>status</t>
        </is>
      </c>
      <c r="V1" s="1" t="inlineStr">
        <is>
          <t>method</t>
        </is>
      </c>
      <c r="W1" s="1" t="inlineStr">
        <is>
          <t>photo_url</t>
        </is>
      </c>
      <c r="X1" s="1" t="inlineStr">
        <is>
          <t>notes</t>
        </is>
      </c>
      <c r="Y1" s="1" t="inlineStr">
        <is>
          <t>scan_confidence_32nds</t>
        </is>
      </c>
      <c r="Z1" s="1" t="inlineStr">
        <is>
          <t>survey_id</t>
        </is>
      </c>
      <c r="AA1" s="1" t="inlineStr">
        <is>
          <t>location</t>
        </is>
      </c>
      <c r="AB1" s="1" t="inlineStr">
        <is>
          <t>reported_by</t>
        </is>
      </c>
      <c r="AC1" s="1" t="inlineStr">
        <is>
          <t>vehicle_type</t>
        </is>
      </c>
      <c r="AD1" s="1" t="inlineStr">
        <is>
          <t>axle_role</t>
        </is>
      </c>
      <c r="AE1" s="1" t="inlineStr">
        <is>
          <t>config_code</t>
        </is>
      </c>
      <c r="AF1" s="1" t="inlineStr">
        <is>
          <t>slot</t>
        </is>
      </c>
      <c r="AG1" s="1" t="inlineStr">
        <is>
          <t>valve_cap</t>
        </is>
      </c>
      <c r="AH1" s="1" t="inlineStr">
        <is>
          <t>pull_point_32nds</t>
        </is>
      </c>
      <c r="AI1" s="1" t="inlineStr">
        <is>
          <t>rec_psi</t>
        </is>
      </c>
      <c r="AJ1" s="1" t="inlineStr">
        <is>
          <t>min_psi</t>
        </is>
      </c>
      <c r="AK1" s="1" t="inlineStr">
        <is>
          <t>retreads_allowed</t>
        </is>
      </c>
    </row>
    <row r="2">
      <c r="A2" s="2" t="inlineStr">
        <is>
          <t>20260908-1432-AB12</t>
        </is>
      </c>
      <c r="B2" s="2" t="inlineStr">
        <is>
          <t>2026-09-08T14:32:00</t>
        </is>
      </c>
      <c r="C2" s="2" t="inlineStr">
        <is>
          <t>M. Francis</t>
        </is>
      </c>
      <c r="D2" s="2" t="inlineStr">
        <is>
          <t>Acme Freight</t>
        </is>
      </c>
      <c r="E2" s="2" t="inlineStr">
        <is>
          <t>42</t>
        </is>
      </c>
      <c r="F2" s="2" t="inlineStr">
        <is>
          <t>ABC 123</t>
        </is>
      </c>
      <c r="G2" s="2" t="inlineStr">
        <is>
          <t>1FUJGLDR5CSBB1234</t>
        </is>
      </c>
      <c r="H2" s="2" t="n">
        <v>512000</v>
      </c>
      <c r="I2" s="2" t="inlineStr">
        <is>
          <t>TRACTOR_3A</t>
        </is>
      </c>
      <c r="J2" s="2" t="inlineStr">
        <is>
          <t>LF</t>
        </is>
      </c>
      <c r="K2" s="2" t="inlineStr">
        <is>
          <t>Michelin</t>
        </is>
      </c>
      <c r="L2" s="2" t="inlineStr">
        <is>
          <t>XZE2</t>
        </is>
      </c>
      <c r="M2" s="2" t="inlineStr">
        <is>
          <t>11R22.5</t>
        </is>
      </c>
      <c r="N2" s="2" t="inlineStr">
        <is>
          <t>DOT B9 4K 2325</t>
        </is>
      </c>
      <c r="O2" s="2" t="n">
        <v>6</v>
      </c>
      <c r="P2" s="2" t="n">
        <v>5</v>
      </c>
      <c r="Q2" s="2" t="n">
        <v>7</v>
      </c>
      <c r="R2" s="2" t="n">
        <v>5</v>
      </c>
      <c r="S2" s="2" t="n">
        <v>3.97</v>
      </c>
      <c r="T2" s="2" t="n">
        <v>105</v>
      </c>
      <c r="U2" s="2" t="inlineStr">
        <is>
          <t>WATCH</t>
        </is>
      </c>
      <c r="V2" s="2" t="inlineStr">
        <is>
          <t>gauge</t>
        </is>
      </c>
      <c r="W2" s="2" t="inlineStr"/>
      <c r="X2" s="2" t="inlineStr">
        <is>
          <t>EXAMPLE ROW — delete once real data is imported</t>
        </is>
      </c>
      <c r="Y2" s="2" t="inlineStr"/>
      <c r="Z2" s="2" t="inlineStr">
        <is>
          <t>165881</t>
        </is>
      </c>
      <c r="AA2" s="2" t="inlineStr">
        <is>
          <t>Clarington, Ontario</t>
        </is>
      </c>
      <c r="AB2" s="2" t="inlineStr">
        <is>
          <t>M. Francis</t>
        </is>
      </c>
      <c r="AC2" s="2" t="inlineStr">
        <is>
          <t>Tractor - Class 8</t>
        </is>
      </c>
      <c r="AD2" s="2" t="inlineStr">
        <is>
          <t>steer</t>
        </is>
      </c>
      <c r="AE2" s="2" t="inlineStr">
        <is>
          <t>2S-4D-4D</t>
        </is>
      </c>
      <c r="AF2" s="2" t="n">
        <v>1</v>
      </c>
      <c r="AG2" s="2" t="inlineStr">
        <is>
          <t>ok</t>
        </is>
      </c>
      <c r="AH2" s="2" t="n">
        <v>5</v>
      </c>
      <c r="AI2" s="2" t="n">
        <v>100</v>
      </c>
      <c r="AJ2" s="2" t="n">
        <v>80</v>
      </c>
      <c r="AK2" s="2" t="inlineStr">
        <is>
          <t>No</t>
        </is>
      </c>
    </row>
  </sheetData>
  <autoFilter ref="A1:AK2000"/>
  <conditionalFormatting sqref="U2:U2000">
    <cfRule type="cellIs" priority="1" operator="equal" dxfId="0">
      <formula>"REPLACE"</formula>
    </cfRule>
    <cfRule type="cellIs" priority="2" operator="equal" dxfId="1">
      <formula>"WATCH"</formula>
    </cfRule>
    <cfRule type="cellIs" priority="3" operator="equal" dxfId="2">
      <formula>"OK"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2" customWidth="1" min="4" max="4"/>
    <col width="20" customWidth="1" min="5" max="5"/>
    <col width="8" customWidth="1" min="6" max="6"/>
    <col width="10" customWidth="1" min="7" max="7"/>
    <col width="9" customWidth="1" min="8" max="8"/>
    <col width="7" customWidth="1" min="9" max="9"/>
    <col width="13" customWidth="1" min="10" max="10"/>
    <col width="15" customWidth="1" min="11" max="11"/>
    <col width="44" customWidth="1" min="12" max="12"/>
  </cols>
  <sheetData>
    <row r="1">
      <c r="A1" s="3" t="inlineStr">
        <is>
          <t>Fleet summary — most recent inspection per unit</t>
        </is>
      </c>
    </row>
    <row r="2">
      <c r="A2" s="4" t="inlineStr">
        <is>
          <t>Type unit numbers into the yellow cells. Everything else is calculated.</t>
        </is>
      </c>
    </row>
    <row r="4">
      <c r="A4" s="5" t="inlineStr">
        <is>
          <t>Unit</t>
        </is>
      </c>
      <c r="B4" s="5" t="inlineStr">
        <is>
          <t>Customer</t>
        </is>
      </c>
      <c r="C4" s="5" t="inlineStr">
        <is>
          <t>Last inspection</t>
        </is>
      </c>
      <c r="D4" s="5" t="inlineStr">
        <is>
          <t>Odometer</t>
        </is>
      </c>
      <c r="E4" s="5" t="inlineStr">
        <is>
          <t>Latest ref</t>
        </is>
      </c>
      <c r="F4" s="5" t="inlineStr">
        <is>
          <t>Tires</t>
        </is>
      </c>
      <c r="G4" s="5" t="inlineStr">
        <is>
          <t>Replace</t>
        </is>
      </c>
      <c r="H4" s="5" t="inlineStr">
        <is>
          <t>Watch</t>
        </is>
      </c>
      <c r="I4" s="5" t="inlineStr">
        <is>
          <t>OK</t>
        </is>
      </c>
      <c r="J4" s="5" t="inlineStr">
        <is>
          <t>Lowest tread</t>
        </is>
      </c>
      <c r="K4" s="5" t="inlineStr">
        <is>
          <t>Lowest position</t>
        </is>
      </c>
      <c r="L4" s="5" t="inlineStr">
        <is>
          <t>Action</t>
        </is>
      </c>
    </row>
    <row r="5">
      <c r="A5" s="6" t="inlineStr">
        <is>
          <t>42</t>
        </is>
      </c>
      <c r="B5" s="7">
        <f>IF(OR($A5="",$E5=""),"",IFERROR(INDEX(Inspections!$D$2:$D$2000,MATCH($E5,Inspections!$A$2:$A$2000,0)),""))</f>
        <v/>
      </c>
      <c r="C5" s="7">
        <f>IF(OR($A5="",$E5=""),"",IFERROR(INDEX(Inspections!$B$2:$B$2000,MATCH($E5,Inspections!$A$2:$A$2000,0)),""))</f>
        <v/>
      </c>
      <c r="D5" s="7">
        <f>IF(OR($A5="",$E5=""),"",IFERROR(INDEX(Inspections!$H$2:$H$2000,MATCH($E5,Inspections!$A$2:$A$2000,0)),""))</f>
        <v/>
      </c>
      <c r="E5" s="7">
        <f>IF($A5="","",IFERROR(INDEX(Inspections!$A$2:$A$2000,SUMPRODUCT(MAX((Inspections!$E$2:$E$2000=$A5)*(IFERROR(VALUE(LEFT(Inspections!$A$2:$A$2000,8)&amp;MID(Inspections!$A$2:$A$2000,10,4)),0)=SUMPRODUCT(MAX((Inspections!$E$2:$E$2000=$A5)*IFERROR(VALUE(LEFT(Inspections!$A$2:$A$2000,8)&amp;MID(Inspections!$A$2:$A$2000,10,4)),0))))*ROW(Inspections!$A$2:$A$2000)))-1),""))</f>
        <v/>
      </c>
      <c r="F5" s="8">
        <f>IF(OR($A5="",$E5=""),"",COUNTIFS(Inspections!$A$2:$A$2000,$E5,Inspections!$R$2:$R$2000,"&lt;&gt;"))</f>
        <v/>
      </c>
      <c r="G5" s="8">
        <f>IF(OR($A5="",$E5=""),"",COUNTIFS(Inspections!$A$2:$A$2000,$E5,Inspections!$U$2:$U$2000,"REPLACE"))</f>
        <v/>
      </c>
      <c r="H5" s="8">
        <f>IF(OR($A5="",$E5=""),"",COUNTIFS(Inspections!$A$2:$A$2000,$E5,Inspections!$U$2:$U$2000,"WATCH"))</f>
        <v/>
      </c>
      <c r="I5" s="8">
        <f>IF(OR($A5="",$E5=""),"",COUNTIFS(Inspections!$A$2:$A$2000,$E5,Inspections!$U$2:$U$2000,"OK"))</f>
        <v/>
      </c>
      <c r="J5" s="9">
        <f>IF(OR($A5="",$E5=""),"",IF($F5=0,"",99-SUMPRODUCT(MAX((Inspections!$A$2:$A$2000=$E5)*(Inspections!$R$2:$R$2000&lt;&gt;"")*(99-Inspections!$R$2:$R$2000)))))</f>
        <v/>
      </c>
      <c r="K5" s="8">
        <f>IF(OR($A5="",$J5=""),"",IFERROR(INDEX(Inspections!$J$2:$J$2000,SUMPRODUCT(MAX((Inspections!$A$2:$A$2000=$E5)*(Inspections!$R$2:$R$2000=$J5)*ROW(Inspections!$J$2:$J$2000)))-1),""))</f>
        <v/>
      </c>
      <c r="L5" s="8">
        <f>IF(OR($A5="",$E5=""),"",IF($G5&gt;0,"Replace "&amp;$G5&amp;" tire(s) now — unit is out of service",IF($H5&gt;0,"Book "&amp;$H5&amp;" tire(s) soon","OK")))</f>
        <v/>
      </c>
    </row>
    <row r="6">
      <c r="A6" s="6" t="n"/>
      <c r="B6" s="7">
        <f>IF(OR($A6="",$E6=""),"",IFERROR(INDEX(Inspections!$D$2:$D$2000,MATCH($E6,Inspections!$A$2:$A$2000,0)),""))</f>
        <v/>
      </c>
      <c r="C6" s="7">
        <f>IF(OR($A6="",$E6=""),"",IFERROR(INDEX(Inspections!$B$2:$B$2000,MATCH($E6,Inspections!$A$2:$A$2000,0)),""))</f>
        <v/>
      </c>
      <c r="D6" s="7">
        <f>IF(OR($A6="",$E6=""),"",IFERROR(INDEX(Inspections!$H$2:$H$2000,MATCH($E6,Inspections!$A$2:$A$2000,0)),""))</f>
        <v/>
      </c>
      <c r="E6" s="7">
        <f>IF($A6="","",IFERROR(INDEX(Inspections!$A$2:$A$2000,SUMPRODUCT(MAX((Inspections!$E$2:$E$2000=$A6)*(IFERROR(VALUE(LEFT(Inspections!$A$2:$A$2000,8)&amp;MID(Inspections!$A$2:$A$2000,10,4)),0)=SUMPRODUCT(MAX((Inspections!$E$2:$E$2000=$A6)*IFERROR(VALUE(LEFT(Inspections!$A$2:$A$2000,8)&amp;MID(Inspections!$A$2:$A$2000,10,4)),0))))*ROW(Inspections!$A$2:$A$2000)))-1),""))</f>
        <v/>
      </c>
      <c r="F6" s="8">
        <f>IF(OR($A6="",$E6=""),"",COUNTIFS(Inspections!$A$2:$A$2000,$E6,Inspections!$R$2:$R$2000,"&lt;&gt;"))</f>
        <v/>
      </c>
      <c r="G6" s="8">
        <f>IF(OR($A6="",$E6=""),"",COUNTIFS(Inspections!$A$2:$A$2000,$E6,Inspections!$U$2:$U$2000,"REPLACE"))</f>
        <v/>
      </c>
      <c r="H6" s="8">
        <f>IF(OR($A6="",$E6=""),"",COUNTIFS(Inspections!$A$2:$A$2000,$E6,Inspections!$U$2:$U$2000,"WATCH"))</f>
        <v/>
      </c>
      <c r="I6" s="8">
        <f>IF(OR($A6="",$E6=""),"",COUNTIFS(Inspections!$A$2:$A$2000,$E6,Inspections!$U$2:$U$2000,"OK"))</f>
        <v/>
      </c>
      <c r="J6" s="9">
        <f>IF(OR($A6="",$E6=""),"",IF($F6=0,"",99-SUMPRODUCT(MAX((Inspections!$A$2:$A$2000=$E6)*(Inspections!$R$2:$R$2000&lt;&gt;"")*(99-Inspections!$R$2:$R$2000)))))</f>
        <v/>
      </c>
      <c r="K6" s="8">
        <f>IF(OR($A6="",$J6=""),"",IFERROR(INDEX(Inspections!$J$2:$J$2000,SUMPRODUCT(MAX((Inspections!$A$2:$A$2000=$E6)*(Inspections!$R$2:$R$2000=$J6)*ROW(Inspections!$J$2:$J$2000)))-1),""))</f>
        <v/>
      </c>
      <c r="L6" s="8">
        <f>IF(OR($A6="",$E6=""),"",IF($G6&gt;0,"Replace "&amp;$G6&amp;" tire(s) now — unit is out of service",IF($H6&gt;0,"Book "&amp;$H6&amp;" tire(s) soon","OK")))</f>
        <v/>
      </c>
    </row>
    <row r="7">
      <c r="A7" s="6" t="n"/>
      <c r="B7" s="7">
        <f>IF(OR($A7="",$E7=""),"",IFERROR(INDEX(Inspections!$D$2:$D$2000,MATCH($E7,Inspections!$A$2:$A$2000,0)),""))</f>
        <v/>
      </c>
      <c r="C7" s="7">
        <f>IF(OR($A7="",$E7=""),"",IFERROR(INDEX(Inspections!$B$2:$B$2000,MATCH($E7,Inspections!$A$2:$A$2000,0)),""))</f>
        <v/>
      </c>
      <c r="D7" s="7">
        <f>IF(OR($A7="",$E7=""),"",IFERROR(INDEX(Inspections!$H$2:$H$2000,MATCH($E7,Inspections!$A$2:$A$2000,0)),""))</f>
        <v/>
      </c>
      <c r="E7" s="7">
        <f>IF($A7="","",IFERROR(INDEX(Inspections!$A$2:$A$2000,SUMPRODUCT(MAX((Inspections!$E$2:$E$2000=$A7)*(IFERROR(VALUE(LEFT(Inspections!$A$2:$A$2000,8)&amp;MID(Inspections!$A$2:$A$2000,10,4)),0)=SUMPRODUCT(MAX((Inspections!$E$2:$E$2000=$A7)*IFERROR(VALUE(LEFT(Inspections!$A$2:$A$2000,8)&amp;MID(Inspections!$A$2:$A$2000,10,4)),0))))*ROW(Inspections!$A$2:$A$2000)))-1),""))</f>
        <v/>
      </c>
      <c r="F7" s="8">
        <f>IF(OR($A7="",$E7=""),"",COUNTIFS(Inspections!$A$2:$A$2000,$E7,Inspections!$R$2:$R$2000,"&lt;&gt;"))</f>
        <v/>
      </c>
      <c r="G7" s="8">
        <f>IF(OR($A7="",$E7=""),"",COUNTIFS(Inspections!$A$2:$A$2000,$E7,Inspections!$U$2:$U$2000,"REPLACE"))</f>
        <v/>
      </c>
      <c r="H7" s="8">
        <f>IF(OR($A7="",$E7=""),"",COUNTIFS(Inspections!$A$2:$A$2000,$E7,Inspections!$U$2:$U$2000,"WATCH"))</f>
        <v/>
      </c>
      <c r="I7" s="8">
        <f>IF(OR($A7="",$E7=""),"",COUNTIFS(Inspections!$A$2:$A$2000,$E7,Inspections!$U$2:$U$2000,"OK"))</f>
        <v/>
      </c>
      <c r="J7" s="9">
        <f>IF(OR($A7="",$E7=""),"",IF($F7=0,"",99-SUMPRODUCT(MAX((Inspections!$A$2:$A$2000=$E7)*(Inspections!$R$2:$R$2000&lt;&gt;"")*(99-Inspections!$R$2:$R$2000)))))</f>
        <v/>
      </c>
      <c r="K7" s="8">
        <f>IF(OR($A7="",$J7=""),"",IFERROR(INDEX(Inspections!$J$2:$J$2000,SUMPRODUCT(MAX((Inspections!$A$2:$A$2000=$E7)*(Inspections!$R$2:$R$2000=$J7)*ROW(Inspections!$J$2:$J$2000)))-1),""))</f>
        <v/>
      </c>
      <c r="L7" s="8">
        <f>IF(OR($A7="",$E7=""),"",IF($G7&gt;0,"Replace "&amp;$G7&amp;" tire(s) now — unit is out of service",IF($H7&gt;0,"Book "&amp;$H7&amp;" tire(s) soon","OK")))</f>
        <v/>
      </c>
    </row>
    <row r="8">
      <c r="A8" s="6" t="n"/>
      <c r="B8" s="7">
        <f>IF(OR($A8="",$E8=""),"",IFERROR(INDEX(Inspections!$D$2:$D$2000,MATCH($E8,Inspections!$A$2:$A$2000,0)),""))</f>
        <v/>
      </c>
      <c r="C8" s="7">
        <f>IF(OR($A8="",$E8=""),"",IFERROR(INDEX(Inspections!$B$2:$B$2000,MATCH($E8,Inspections!$A$2:$A$2000,0)),""))</f>
        <v/>
      </c>
      <c r="D8" s="7">
        <f>IF(OR($A8="",$E8=""),"",IFERROR(INDEX(Inspections!$H$2:$H$2000,MATCH($E8,Inspections!$A$2:$A$2000,0)),""))</f>
        <v/>
      </c>
      <c r="E8" s="7">
        <f>IF($A8="","",IFERROR(INDEX(Inspections!$A$2:$A$2000,SUMPRODUCT(MAX((Inspections!$E$2:$E$2000=$A8)*(IFERROR(VALUE(LEFT(Inspections!$A$2:$A$2000,8)&amp;MID(Inspections!$A$2:$A$2000,10,4)),0)=SUMPRODUCT(MAX((Inspections!$E$2:$E$2000=$A8)*IFERROR(VALUE(LEFT(Inspections!$A$2:$A$2000,8)&amp;MID(Inspections!$A$2:$A$2000,10,4)),0))))*ROW(Inspections!$A$2:$A$2000)))-1),""))</f>
        <v/>
      </c>
      <c r="F8" s="8">
        <f>IF(OR($A8="",$E8=""),"",COUNTIFS(Inspections!$A$2:$A$2000,$E8,Inspections!$R$2:$R$2000,"&lt;&gt;"))</f>
        <v/>
      </c>
      <c r="G8" s="8">
        <f>IF(OR($A8="",$E8=""),"",COUNTIFS(Inspections!$A$2:$A$2000,$E8,Inspections!$U$2:$U$2000,"REPLACE"))</f>
        <v/>
      </c>
      <c r="H8" s="8">
        <f>IF(OR($A8="",$E8=""),"",COUNTIFS(Inspections!$A$2:$A$2000,$E8,Inspections!$U$2:$U$2000,"WATCH"))</f>
        <v/>
      </c>
      <c r="I8" s="8">
        <f>IF(OR($A8="",$E8=""),"",COUNTIFS(Inspections!$A$2:$A$2000,$E8,Inspections!$U$2:$U$2000,"OK"))</f>
        <v/>
      </c>
      <c r="J8" s="9">
        <f>IF(OR($A8="",$E8=""),"",IF($F8=0,"",99-SUMPRODUCT(MAX((Inspections!$A$2:$A$2000=$E8)*(Inspections!$R$2:$R$2000&lt;&gt;"")*(99-Inspections!$R$2:$R$2000)))))</f>
        <v/>
      </c>
      <c r="K8" s="8">
        <f>IF(OR($A8="",$J8=""),"",IFERROR(INDEX(Inspections!$J$2:$J$2000,SUMPRODUCT(MAX((Inspections!$A$2:$A$2000=$E8)*(Inspections!$R$2:$R$2000=$J8)*ROW(Inspections!$J$2:$J$2000)))-1),""))</f>
        <v/>
      </c>
      <c r="L8" s="8">
        <f>IF(OR($A8="",$E8=""),"",IF($G8&gt;0,"Replace "&amp;$G8&amp;" tire(s) now — unit is out of service",IF($H8&gt;0,"Book "&amp;$H8&amp;" tire(s) soon","OK")))</f>
        <v/>
      </c>
    </row>
    <row r="9">
      <c r="A9" s="6" t="n"/>
      <c r="B9" s="7">
        <f>IF(OR($A9="",$E9=""),"",IFERROR(INDEX(Inspections!$D$2:$D$2000,MATCH($E9,Inspections!$A$2:$A$2000,0)),""))</f>
        <v/>
      </c>
      <c r="C9" s="7">
        <f>IF(OR($A9="",$E9=""),"",IFERROR(INDEX(Inspections!$B$2:$B$2000,MATCH($E9,Inspections!$A$2:$A$2000,0)),""))</f>
        <v/>
      </c>
      <c r="D9" s="7">
        <f>IF(OR($A9="",$E9=""),"",IFERROR(INDEX(Inspections!$H$2:$H$2000,MATCH($E9,Inspections!$A$2:$A$2000,0)),""))</f>
        <v/>
      </c>
      <c r="E9" s="7">
        <f>IF($A9="","",IFERROR(INDEX(Inspections!$A$2:$A$2000,SUMPRODUCT(MAX((Inspections!$E$2:$E$2000=$A9)*(IFERROR(VALUE(LEFT(Inspections!$A$2:$A$2000,8)&amp;MID(Inspections!$A$2:$A$2000,10,4)),0)=SUMPRODUCT(MAX((Inspections!$E$2:$E$2000=$A9)*IFERROR(VALUE(LEFT(Inspections!$A$2:$A$2000,8)&amp;MID(Inspections!$A$2:$A$2000,10,4)),0))))*ROW(Inspections!$A$2:$A$2000)))-1),""))</f>
        <v/>
      </c>
      <c r="F9" s="8">
        <f>IF(OR($A9="",$E9=""),"",COUNTIFS(Inspections!$A$2:$A$2000,$E9,Inspections!$R$2:$R$2000,"&lt;&gt;"))</f>
        <v/>
      </c>
      <c r="G9" s="8">
        <f>IF(OR($A9="",$E9=""),"",COUNTIFS(Inspections!$A$2:$A$2000,$E9,Inspections!$U$2:$U$2000,"REPLACE"))</f>
        <v/>
      </c>
      <c r="H9" s="8">
        <f>IF(OR($A9="",$E9=""),"",COUNTIFS(Inspections!$A$2:$A$2000,$E9,Inspections!$U$2:$U$2000,"WATCH"))</f>
        <v/>
      </c>
      <c r="I9" s="8">
        <f>IF(OR($A9="",$E9=""),"",COUNTIFS(Inspections!$A$2:$A$2000,$E9,Inspections!$U$2:$U$2000,"OK"))</f>
        <v/>
      </c>
      <c r="J9" s="9">
        <f>IF(OR($A9="",$E9=""),"",IF($F9=0,"",99-SUMPRODUCT(MAX((Inspections!$A$2:$A$2000=$E9)*(Inspections!$R$2:$R$2000&lt;&gt;"")*(99-Inspections!$R$2:$R$2000)))))</f>
        <v/>
      </c>
      <c r="K9" s="8">
        <f>IF(OR($A9="",$J9=""),"",IFERROR(INDEX(Inspections!$J$2:$J$2000,SUMPRODUCT(MAX((Inspections!$A$2:$A$2000=$E9)*(Inspections!$R$2:$R$2000=$J9)*ROW(Inspections!$J$2:$J$2000)))-1),""))</f>
        <v/>
      </c>
      <c r="L9" s="8">
        <f>IF(OR($A9="",$E9=""),"",IF($G9&gt;0,"Replace "&amp;$G9&amp;" tire(s) now — unit is out of service",IF($H9&gt;0,"Book "&amp;$H9&amp;" tire(s) soon","OK")))</f>
        <v/>
      </c>
    </row>
    <row r="10">
      <c r="A10" s="6" t="n"/>
      <c r="B10" s="7">
        <f>IF(OR($A10="",$E10=""),"",IFERROR(INDEX(Inspections!$D$2:$D$2000,MATCH($E10,Inspections!$A$2:$A$2000,0)),""))</f>
        <v/>
      </c>
      <c r="C10" s="7">
        <f>IF(OR($A10="",$E10=""),"",IFERROR(INDEX(Inspections!$B$2:$B$2000,MATCH($E10,Inspections!$A$2:$A$2000,0)),""))</f>
        <v/>
      </c>
      <c r="D10" s="7">
        <f>IF(OR($A10="",$E10=""),"",IFERROR(INDEX(Inspections!$H$2:$H$2000,MATCH($E10,Inspections!$A$2:$A$2000,0)),""))</f>
        <v/>
      </c>
      <c r="E10" s="7">
        <f>IF($A10="","",IFERROR(INDEX(Inspections!$A$2:$A$2000,SUMPRODUCT(MAX((Inspections!$E$2:$E$2000=$A10)*(IFERROR(VALUE(LEFT(Inspections!$A$2:$A$2000,8)&amp;MID(Inspections!$A$2:$A$2000,10,4)),0)=SUMPRODUCT(MAX((Inspections!$E$2:$E$2000=$A10)*IFERROR(VALUE(LEFT(Inspections!$A$2:$A$2000,8)&amp;MID(Inspections!$A$2:$A$2000,10,4)),0))))*ROW(Inspections!$A$2:$A$2000)))-1),""))</f>
        <v/>
      </c>
      <c r="F10" s="8">
        <f>IF(OR($A10="",$E10=""),"",COUNTIFS(Inspections!$A$2:$A$2000,$E10,Inspections!$R$2:$R$2000,"&lt;&gt;"))</f>
        <v/>
      </c>
      <c r="G10" s="8">
        <f>IF(OR($A10="",$E10=""),"",COUNTIFS(Inspections!$A$2:$A$2000,$E10,Inspections!$U$2:$U$2000,"REPLACE"))</f>
        <v/>
      </c>
      <c r="H10" s="8">
        <f>IF(OR($A10="",$E10=""),"",COUNTIFS(Inspections!$A$2:$A$2000,$E10,Inspections!$U$2:$U$2000,"WATCH"))</f>
        <v/>
      </c>
      <c r="I10" s="8">
        <f>IF(OR($A10="",$E10=""),"",COUNTIFS(Inspections!$A$2:$A$2000,$E10,Inspections!$U$2:$U$2000,"OK"))</f>
        <v/>
      </c>
      <c r="J10" s="9">
        <f>IF(OR($A10="",$E10=""),"",IF($F10=0,"",99-SUMPRODUCT(MAX((Inspections!$A$2:$A$2000=$E10)*(Inspections!$R$2:$R$2000&lt;&gt;"")*(99-Inspections!$R$2:$R$2000)))))</f>
        <v/>
      </c>
      <c r="K10" s="8">
        <f>IF(OR($A10="",$J10=""),"",IFERROR(INDEX(Inspections!$J$2:$J$2000,SUMPRODUCT(MAX((Inspections!$A$2:$A$2000=$E10)*(Inspections!$R$2:$R$2000=$J10)*ROW(Inspections!$J$2:$J$2000)))-1),""))</f>
        <v/>
      </c>
      <c r="L10" s="8">
        <f>IF(OR($A10="",$E10=""),"",IF($G10&gt;0,"Replace "&amp;$G10&amp;" tire(s) now — unit is out of service",IF($H10&gt;0,"Book "&amp;$H10&amp;" tire(s) soon","OK")))</f>
        <v/>
      </c>
    </row>
    <row r="11">
      <c r="A11" s="6" t="n"/>
      <c r="B11" s="7">
        <f>IF(OR($A11="",$E11=""),"",IFERROR(INDEX(Inspections!$D$2:$D$2000,MATCH($E11,Inspections!$A$2:$A$2000,0)),""))</f>
        <v/>
      </c>
      <c r="C11" s="7">
        <f>IF(OR($A11="",$E11=""),"",IFERROR(INDEX(Inspections!$B$2:$B$2000,MATCH($E11,Inspections!$A$2:$A$2000,0)),""))</f>
        <v/>
      </c>
      <c r="D11" s="7">
        <f>IF(OR($A11="",$E11=""),"",IFERROR(INDEX(Inspections!$H$2:$H$2000,MATCH($E11,Inspections!$A$2:$A$2000,0)),""))</f>
        <v/>
      </c>
      <c r="E11" s="7">
        <f>IF($A11="","",IFERROR(INDEX(Inspections!$A$2:$A$2000,SUMPRODUCT(MAX((Inspections!$E$2:$E$2000=$A11)*(IFERROR(VALUE(LEFT(Inspections!$A$2:$A$2000,8)&amp;MID(Inspections!$A$2:$A$2000,10,4)),0)=SUMPRODUCT(MAX((Inspections!$E$2:$E$2000=$A11)*IFERROR(VALUE(LEFT(Inspections!$A$2:$A$2000,8)&amp;MID(Inspections!$A$2:$A$2000,10,4)),0))))*ROW(Inspections!$A$2:$A$2000)))-1),""))</f>
        <v/>
      </c>
      <c r="F11" s="8">
        <f>IF(OR($A11="",$E11=""),"",COUNTIFS(Inspections!$A$2:$A$2000,$E11,Inspections!$R$2:$R$2000,"&lt;&gt;"))</f>
        <v/>
      </c>
      <c r="G11" s="8">
        <f>IF(OR($A11="",$E11=""),"",COUNTIFS(Inspections!$A$2:$A$2000,$E11,Inspections!$U$2:$U$2000,"REPLACE"))</f>
        <v/>
      </c>
      <c r="H11" s="8">
        <f>IF(OR($A11="",$E11=""),"",COUNTIFS(Inspections!$A$2:$A$2000,$E11,Inspections!$U$2:$U$2000,"WATCH"))</f>
        <v/>
      </c>
      <c r="I11" s="8">
        <f>IF(OR($A11="",$E11=""),"",COUNTIFS(Inspections!$A$2:$A$2000,$E11,Inspections!$U$2:$U$2000,"OK"))</f>
        <v/>
      </c>
      <c r="J11" s="9">
        <f>IF(OR($A11="",$E11=""),"",IF($F11=0,"",99-SUMPRODUCT(MAX((Inspections!$A$2:$A$2000=$E11)*(Inspections!$R$2:$R$2000&lt;&gt;"")*(99-Inspections!$R$2:$R$2000)))))</f>
        <v/>
      </c>
      <c r="K11" s="8">
        <f>IF(OR($A11="",$J11=""),"",IFERROR(INDEX(Inspections!$J$2:$J$2000,SUMPRODUCT(MAX((Inspections!$A$2:$A$2000=$E11)*(Inspections!$R$2:$R$2000=$J11)*ROW(Inspections!$J$2:$J$2000)))-1),""))</f>
        <v/>
      </c>
      <c r="L11" s="8">
        <f>IF(OR($A11="",$E11=""),"",IF($G11&gt;0,"Replace "&amp;$G11&amp;" tire(s) now — unit is out of service",IF($H11&gt;0,"Book "&amp;$H11&amp;" tire(s) soon","OK")))</f>
        <v/>
      </c>
    </row>
    <row r="12">
      <c r="A12" s="6" t="n"/>
      <c r="B12" s="7">
        <f>IF(OR($A12="",$E12=""),"",IFERROR(INDEX(Inspections!$D$2:$D$2000,MATCH($E12,Inspections!$A$2:$A$2000,0)),""))</f>
        <v/>
      </c>
      <c r="C12" s="7">
        <f>IF(OR($A12="",$E12=""),"",IFERROR(INDEX(Inspections!$B$2:$B$2000,MATCH($E12,Inspections!$A$2:$A$2000,0)),""))</f>
        <v/>
      </c>
      <c r="D12" s="7">
        <f>IF(OR($A12="",$E12=""),"",IFERROR(INDEX(Inspections!$H$2:$H$2000,MATCH($E12,Inspections!$A$2:$A$2000,0)),""))</f>
        <v/>
      </c>
      <c r="E12" s="7">
        <f>IF($A12="","",IFERROR(INDEX(Inspections!$A$2:$A$2000,SUMPRODUCT(MAX((Inspections!$E$2:$E$2000=$A12)*(IFERROR(VALUE(LEFT(Inspections!$A$2:$A$2000,8)&amp;MID(Inspections!$A$2:$A$2000,10,4)),0)=SUMPRODUCT(MAX((Inspections!$E$2:$E$2000=$A12)*IFERROR(VALUE(LEFT(Inspections!$A$2:$A$2000,8)&amp;MID(Inspections!$A$2:$A$2000,10,4)),0))))*ROW(Inspections!$A$2:$A$2000)))-1),""))</f>
        <v/>
      </c>
      <c r="F12" s="8">
        <f>IF(OR($A12="",$E12=""),"",COUNTIFS(Inspections!$A$2:$A$2000,$E12,Inspections!$R$2:$R$2000,"&lt;&gt;"))</f>
        <v/>
      </c>
      <c r="G12" s="8">
        <f>IF(OR($A12="",$E12=""),"",COUNTIFS(Inspections!$A$2:$A$2000,$E12,Inspections!$U$2:$U$2000,"REPLACE"))</f>
        <v/>
      </c>
      <c r="H12" s="8">
        <f>IF(OR($A12="",$E12=""),"",COUNTIFS(Inspections!$A$2:$A$2000,$E12,Inspections!$U$2:$U$2000,"WATCH"))</f>
        <v/>
      </c>
      <c r="I12" s="8">
        <f>IF(OR($A12="",$E12=""),"",COUNTIFS(Inspections!$A$2:$A$2000,$E12,Inspections!$U$2:$U$2000,"OK"))</f>
        <v/>
      </c>
      <c r="J12" s="9">
        <f>IF(OR($A12="",$E12=""),"",IF($F12=0,"",99-SUMPRODUCT(MAX((Inspections!$A$2:$A$2000=$E12)*(Inspections!$R$2:$R$2000&lt;&gt;"")*(99-Inspections!$R$2:$R$2000)))))</f>
        <v/>
      </c>
      <c r="K12" s="8">
        <f>IF(OR($A12="",$J12=""),"",IFERROR(INDEX(Inspections!$J$2:$J$2000,SUMPRODUCT(MAX((Inspections!$A$2:$A$2000=$E12)*(Inspections!$R$2:$R$2000=$J12)*ROW(Inspections!$J$2:$J$2000)))-1),""))</f>
        <v/>
      </c>
      <c r="L12" s="8">
        <f>IF(OR($A12="",$E12=""),"",IF($G12&gt;0,"Replace "&amp;$G12&amp;" tire(s) now — unit is out of service",IF($H12&gt;0,"Book "&amp;$H12&amp;" tire(s) soon","OK")))</f>
        <v/>
      </c>
    </row>
    <row r="13">
      <c r="A13" s="6" t="n"/>
      <c r="B13" s="7">
        <f>IF(OR($A13="",$E13=""),"",IFERROR(INDEX(Inspections!$D$2:$D$2000,MATCH($E13,Inspections!$A$2:$A$2000,0)),""))</f>
        <v/>
      </c>
      <c r="C13" s="7">
        <f>IF(OR($A13="",$E13=""),"",IFERROR(INDEX(Inspections!$B$2:$B$2000,MATCH($E13,Inspections!$A$2:$A$2000,0)),""))</f>
        <v/>
      </c>
      <c r="D13" s="7">
        <f>IF(OR($A13="",$E13=""),"",IFERROR(INDEX(Inspections!$H$2:$H$2000,MATCH($E13,Inspections!$A$2:$A$2000,0)),""))</f>
        <v/>
      </c>
      <c r="E13" s="7">
        <f>IF($A13="","",IFERROR(INDEX(Inspections!$A$2:$A$2000,SUMPRODUCT(MAX((Inspections!$E$2:$E$2000=$A13)*(IFERROR(VALUE(LEFT(Inspections!$A$2:$A$2000,8)&amp;MID(Inspections!$A$2:$A$2000,10,4)),0)=SUMPRODUCT(MAX((Inspections!$E$2:$E$2000=$A13)*IFERROR(VALUE(LEFT(Inspections!$A$2:$A$2000,8)&amp;MID(Inspections!$A$2:$A$2000,10,4)),0))))*ROW(Inspections!$A$2:$A$2000)))-1),""))</f>
        <v/>
      </c>
      <c r="F13" s="8">
        <f>IF(OR($A13="",$E13=""),"",COUNTIFS(Inspections!$A$2:$A$2000,$E13,Inspections!$R$2:$R$2000,"&lt;&gt;"))</f>
        <v/>
      </c>
      <c r="G13" s="8">
        <f>IF(OR($A13="",$E13=""),"",COUNTIFS(Inspections!$A$2:$A$2000,$E13,Inspections!$U$2:$U$2000,"REPLACE"))</f>
        <v/>
      </c>
      <c r="H13" s="8">
        <f>IF(OR($A13="",$E13=""),"",COUNTIFS(Inspections!$A$2:$A$2000,$E13,Inspections!$U$2:$U$2000,"WATCH"))</f>
        <v/>
      </c>
      <c r="I13" s="8">
        <f>IF(OR($A13="",$E13=""),"",COUNTIFS(Inspections!$A$2:$A$2000,$E13,Inspections!$U$2:$U$2000,"OK"))</f>
        <v/>
      </c>
      <c r="J13" s="9">
        <f>IF(OR($A13="",$E13=""),"",IF($F13=0,"",99-SUMPRODUCT(MAX((Inspections!$A$2:$A$2000=$E13)*(Inspections!$R$2:$R$2000&lt;&gt;"")*(99-Inspections!$R$2:$R$2000)))))</f>
        <v/>
      </c>
      <c r="K13" s="8">
        <f>IF(OR($A13="",$J13=""),"",IFERROR(INDEX(Inspections!$J$2:$J$2000,SUMPRODUCT(MAX((Inspections!$A$2:$A$2000=$E13)*(Inspections!$R$2:$R$2000=$J13)*ROW(Inspections!$J$2:$J$2000)))-1),""))</f>
        <v/>
      </c>
      <c r="L13" s="8">
        <f>IF(OR($A13="",$E13=""),"",IF($G13&gt;0,"Replace "&amp;$G13&amp;" tire(s) now — unit is out of service",IF($H13&gt;0,"Book "&amp;$H13&amp;" tire(s) soon","OK")))</f>
        <v/>
      </c>
    </row>
    <row r="14">
      <c r="A14" s="6" t="n"/>
      <c r="B14" s="7">
        <f>IF(OR($A14="",$E14=""),"",IFERROR(INDEX(Inspections!$D$2:$D$2000,MATCH($E14,Inspections!$A$2:$A$2000,0)),""))</f>
        <v/>
      </c>
      <c r="C14" s="7">
        <f>IF(OR($A14="",$E14=""),"",IFERROR(INDEX(Inspections!$B$2:$B$2000,MATCH($E14,Inspections!$A$2:$A$2000,0)),""))</f>
        <v/>
      </c>
      <c r="D14" s="7">
        <f>IF(OR($A14="",$E14=""),"",IFERROR(INDEX(Inspections!$H$2:$H$2000,MATCH($E14,Inspections!$A$2:$A$2000,0)),""))</f>
        <v/>
      </c>
      <c r="E14" s="7">
        <f>IF($A14="","",IFERROR(INDEX(Inspections!$A$2:$A$2000,SUMPRODUCT(MAX((Inspections!$E$2:$E$2000=$A14)*(IFERROR(VALUE(LEFT(Inspections!$A$2:$A$2000,8)&amp;MID(Inspections!$A$2:$A$2000,10,4)),0)=SUMPRODUCT(MAX((Inspections!$E$2:$E$2000=$A14)*IFERROR(VALUE(LEFT(Inspections!$A$2:$A$2000,8)&amp;MID(Inspections!$A$2:$A$2000,10,4)),0))))*ROW(Inspections!$A$2:$A$2000)))-1),""))</f>
        <v/>
      </c>
      <c r="F14" s="8">
        <f>IF(OR($A14="",$E14=""),"",COUNTIFS(Inspections!$A$2:$A$2000,$E14,Inspections!$R$2:$R$2000,"&lt;&gt;"))</f>
        <v/>
      </c>
      <c r="G14" s="8">
        <f>IF(OR($A14="",$E14=""),"",COUNTIFS(Inspections!$A$2:$A$2000,$E14,Inspections!$U$2:$U$2000,"REPLACE"))</f>
        <v/>
      </c>
      <c r="H14" s="8">
        <f>IF(OR($A14="",$E14=""),"",COUNTIFS(Inspections!$A$2:$A$2000,$E14,Inspections!$U$2:$U$2000,"WATCH"))</f>
        <v/>
      </c>
      <c r="I14" s="8">
        <f>IF(OR($A14="",$E14=""),"",COUNTIFS(Inspections!$A$2:$A$2000,$E14,Inspections!$U$2:$U$2000,"OK"))</f>
        <v/>
      </c>
      <c r="J14" s="9">
        <f>IF(OR($A14="",$E14=""),"",IF($F14=0,"",99-SUMPRODUCT(MAX((Inspections!$A$2:$A$2000=$E14)*(Inspections!$R$2:$R$2000&lt;&gt;"")*(99-Inspections!$R$2:$R$2000)))))</f>
        <v/>
      </c>
      <c r="K14" s="8">
        <f>IF(OR($A14="",$J14=""),"",IFERROR(INDEX(Inspections!$J$2:$J$2000,SUMPRODUCT(MAX((Inspections!$A$2:$A$2000=$E14)*(Inspections!$R$2:$R$2000=$J14)*ROW(Inspections!$J$2:$J$2000)))-1),""))</f>
        <v/>
      </c>
      <c r="L14" s="8">
        <f>IF(OR($A14="",$E14=""),"",IF($G14&gt;0,"Replace "&amp;$G14&amp;" tire(s) now — unit is out of service",IF($H14&gt;0,"Book "&amp;$H14&amp;" tire(s) soon","OK")))</f>
        <v/>
      </c>
    </row>
    <row r="15">
      <c r="A15" s="6" t="n"/>
      <c r="B15" s="7">
        <f>IF(OR($A15="",$E15=""),"",IFERROR(INDEX(Inspections!$D$2:$D$2000,MATCH($E15,Inspections!$A$2:$A$2000,0)),""))</f>
        <v/>
      </c>
      <c r="C15" s="7">
        <f>IF(OR($A15="",$E15=""),"",IFERROR(INDEX(Inspections!$B$2:$B$2000,MATCH($E15,Inspections!$A$2:$A$2000,0)),""))</f>
        <v/>
      </c>
      <c r="D15" s="7">
        <f>IF(OR($A15="",$E15=""),"",IFERROR(INDEX(Inspections!$H$2:$H$2000,MATCH($E15,Inspections!$A$2:$A$2000,0)),""))</f>
        <v/>
      </c>
      <c r="E15" s="7">
        <f>IF($A15="","",IFERROR(INDEX(Inspections!$A$2:$A$2000,SUMPRODUCT(MAX((Inspections!$E$2:$E$2000=$A15)*(IFERROR(VALUE(LEFT(Inspections!$A$2:$A$2000,8)&amp;MID(Inspections!$A$2:$A$2000,10,4)),0)=SUMPRODUCT(MAX((Inspections!$E$2:$E$2000=$A15)*IFERROR(VALUE(LEFT(Inspections!$A$2:$A$2000,8)&amp;MID(Inspections!$A$2:$A$2000,10,4)),0))))*ROW(Inspections!$A$2:$A$2000)))-1),""))</f>
        <v/>
      </c>
      <c r="F15" s="8">
        <f>IF(OR($A15="",$E15=""),"",COUNTIFS(Inspections!$A$2:$A$2000,$E15,Inspections!$R$2:$R$2000,"&lt;&gt;"))</f>
        <v/>
      </c>
      <c r="G15" s="8">
        <f>IF(OR($A15="",$E15=""),"",COUNTIFS(Inspections!$A$2:$A$2000,$E15,Inspections!$U$2:$U$2000,"REPLACE"))</f>
        <v/>
      </c>
      <c r="H15" s="8">
        <f>IF(OR($A15="",$E15=""),"",COUNTIFS(Inspections!$A$2:$A$2000,$E15,Inspections!$U$2:$U$2000,"WATCH"))</f>
        <v/>
      </c>
      <c r="I15" s="8">
        <f>IF(OR($A15="",$E15=""),"",COUNTIFS(Inspections!$A$2:$A$2000,$E15,Inspections!$U$2:$U$2000,"OK"))</f>
        <v/>
      </c>
      <c r="J15" s="9">
        <f>IF(OR($A15="",$E15=""),"",IF($F15=0,"",99-SUMPRODUCT(MAX((Inspections!$A$2:$A$2000=$E15)*(Inspections!$R$2:$R$2000&lt;&gt;"")*(99-Inspections!$R$2:$R$2000)))))</f>
        <v/>
      </c>
      <c r="K15" s="8">
        <f>IF(OR($A15="",$J15=""),"",IFERROR(INDEX(Inspections!$J$2:$J$2000,SUMPRODUCT(MAX((Inspections!$A$2:$A$2000=$E15)*(Inspections!$R$2:$R$2000=$J15)*ROW(Inspections!$J$2:$J$2000)))-1),""))</f>
        <v/>
      </c>
      <c r="L15" s="8">
        <f>IF(OR($A15="",$E15=""),"",IF($G15&gt;0,"Replace "&amp;$G15&amp;" tire(s) now — unit is out of service",IF($H15&gt;0,"Book "&amp;$H15&amp;" tire(s) soon","OK")))</f>
        <v/>
      </c>
    </row>
    <row r="16">
      <c r="A16" s="6" t="n"/>
      <c r="B16" s="7">
        <f>IF(OR($A16="",$E16=""),"",IFERROR(INDEX(Inspections!$D$2:$D$2000,MATCH($E16,Inspections!$A$2:$A$2000,0)),""))</f>
        <v/>
      </c>
      <c r="C16" s="7">
        <f>IF(OR($A16="",$E16=""),"",IFERROR(INDEX(Inspections!$B$2:$B$2000,MATCH($E16,Inspections!$A$2:$A$2000,0)),""))</f>
        <v/>
      </c>
      <c r="D16" s="7">
        <f>IF(OR($A16="",$E16=""),"",IFERROR(INDEX(Inspections!$H$2:$H$2000,MATCH($E16,Inspections!$A$2:$A$2000,0)),""))</f>
        <v/>
      </c>
      <c r="E16" s="7">
        <f>IF($A16="","",IFERROR(INDEX(Inspections!$A$2:$A$2000,SUMPRODUCT(MAX((Inspections!$E$2:$E$2000=$A16)*(IFERROR(VALUE(LEFT(Inspections!$A$2:$A$2000,8)&amp;MID(Inspections!$A$2:$A$2000,10,4)),0)=SUMPRODUCT(MAX((Inspections!$E$2:$E$2000=$A16)*IFERROR(VALUE(LEFT(Inspections!$A$2:$A$2000,8)&amp;MID(Inspections!$A$2:$A$2000,10,4)),0))))*ROW(Inspections!$A$2:$A$2000)))-1),""))</f>
        <v/>
      </c>
      <c r="F16" s="8">
        <f>IF(OR($A16="",$E16=""),"",COUNTIFS(Inspections!$A$2:$A$2000,$E16,Inspections!$R$2:$R$2000,"&lt;&gt;"))</f>
        <v/>
      </c>
      <c r="G16" s="8">
        <f>IF(OR($A16="",$E16=""),"",COUNTIFS(Inspections!$A$2:$A$2000,$E16,Inspections!$U$2:$U$2000,"REPLACE"))</f>
        <v/>
      </c>
      <c r="H16" s="8">
        <f>IF(OR($A16="",$E16=""),"",COUNTIFS(Inspections!$A$2:$A$2000,$E16,Inspections!$U$2:$U$2000,"WATCH"))</f>
        <v/>
      </c>
      <c r="I16" s="8">
        <f>IF(OR($A16="",$E16=""),"",COUNTIFS(Inspections!$A$2:$A$2000,$E16,Inspections!$U$2:$U$2000,"OK"))</f>
        <v/>
      </c>
      <c r="J16" s="9">
        <f>IF(OR($A16="",$E16=""),"",IF($F16=0,"",99-SUMPRODUCT(MAX((Inspections!$A$2:$A$2000=$E16)*(Inspections!$R$2:$R$2000&lt;&gt;"")*(99-Inspections!$R$2:$R$2000)))))</f>
        <v/>
      </c>
      <c r="K16" s="8">
        <f>IF(OR($A16="",$J16=""),"",IFERROR(INDEX(Inspections!$J$2:$J$2000,SUMPRODUCT(MAX((Inspections!$A$2:$A$2000=$E16)*(Inspections!$R$2:$R$2000=$J16)*ROW(Inspections!$J$2:$J$2000)))-1),""))</f>
        <v/>
      </c>
      <c r="L16" s="8">
        <f>IF(OR($A16="",$E16=""),"",IF($G16&gt;0,"Replace "&amp;$G16&amp;" tire(s) now — unit is out of service",IF($H16&gt;0,"Book "&amp;$H16&amp;" tire(s) soon","OK")))</f>
        <v/>
      </c>
    </row>
    <row r="17">
      <c r="A17" s="6" t="n"/>
      <c r="B17" s="7">
        <f>IF(OR($A17="",$E17=""),"",IFERROR(INDEX(Inspections!$D$2:$D$2000,MATCH($E17,Inspections!$A$2:$A$2000,0)),""))</f>
        <v/>
      </c>
      <c r="C17" s="7">
        <f>IF(OR($A17="",$E17=""),"",IFERROR(INDEX(Inspections!$B$2:$B$2000,MATCH($E17,Inspections!$A$2:$A$2000,0)),""))</f>
        <v/>
      </c>
      <c r="D17" s="7">
        <f>IF(OR($A17="",$E17=""),"",IFERROR(INDEX(Inspections!$H$2:$H$2000,MATCH($E17,Inspections!$A$2:$A$2000,0)),""))</f>
        <v/>
      </c>
      <c r="E17" s="7">
        <f>IF($A17="","",IFERROR(INDEX(Inspections!$A$2:$A$2000,SUMPRODUCT(MAX((Inspections!$E$2:$E$2000=$A17)*(IFERROR(VALUE(LEFT(Inspections!$A$2:$A$2000,8)&amp;MID(Inspections!$A$2:$A$2000,10,4)),0)=SUMPRODUCT(MAX((Inspections!$E$2:$E$2000=$A17)*IFERROR(VALUE(LEFT(Inspections!$A$2:$A$2000,8)&amp;MID(Inspections!$A$2:$A$2000,10,4)),0))))*ROW(Inspections!$A$2:$A$2000)))-1),""))</f>
        <v/>
      </c>
      <c r="F17" s="8">
        <f>IF(OR($A17="",$E17=""),"",COUNTIFS(Inspections!$A$2:$A$2000,$E17,Inspections!$R$2:$R$2000,"&lt;&gt;"))</f>
        <v/>
      </c>
      <c r="G17" s="8">
        <f>IF(OR($A17="",$E17=""),"",COUNTIFS(Inspections!$A$2:$A$2000,$E17,Inspections!$U$2:$U$2000,"REPLACE"))</f>
        <v/>
      </c>
      <c r="H17" s="8">
        <f>IF(OR($A17="",$E17=""),"",COUNTIFS(Inspections!$A$2:$A$2000,$E17,Inspections!$U$2:$U$2000,"WATCH"))</f>
        <v/>
      </c>
      <c r="I17" s="8">
        <f>IF(OR($A17="",$E17=""),"",COUNTIFS(Inspections!$A$2:$A$2000,$E17,Inspections!$U$2:$U$2000,"OK"))</f>
        <v/>
      </c>
      <c r="J17" s="9">
        <f>IF(OR($A17="",$E17=""),"",IF($F17=0,"",99-SUMPRODUCT(MAX((Inspections!$A$2:$A$2000=$E17)*(Inspections!$R$2:$R$2000&lt;&gt;"")*(99-Inspections!$R$2:$R$2000)))))</f>
        <v/>
      </c>
      <c r="K17" s="8">
        <f>IF(OR($A17="",$J17=""),"",IFERROR(INDEX(Inspections!$J$2:$J$2000,SUMPRODUCT(MAX((Inspections!$A$2:$A$2000=$E17)*(Inspections!$R$2:$R$2000=$J17)*ROW(Inspections!$J$2:$J$2000)))-1),""))</f>
        <v/>
      </c>
      <c r="L17" s="8">
        <f>IF(OR($A17="",$E17=""),"",IF($G17&gt;0,"Replace "&amp;$G17&amp;" tire(s) now — unit is out of service",IF($H17&gt;0,"Book "&amp;$H17&amp;" tire(s) soon","OK")))</f>
        <v/>
      </c>
    </row>
    <row r="18">
      <c r="A18" s="6" t="n"/>
      <c r="B18" s="7">
        <f>IF(OR($A18="",$E18=""),"",IFERROR(INDEX(Inspections!$D$2:$D$2000,MATCH($E18,Inspections!$A$2:$A$2000,0)),""))</f>
        <v/>
      </c>
      <c r="C18" s="7">
        <f>IF(OR($A18="",$E18=""),"",IFERROR(INDEX(Inspections!$B$2:$B$2000,MATCH($E18,Inspections!$A$2:$A$2000,0)),""))</f>
        <v/>
      </c>
      <c r="D18" s="7">
        <f>IF(OR($A18="",$E18=""),"",IFERROR(INDEX(Inspections!$H$2:$H$2000,MATCH($E18,Inspections!$A$2:$A$2000,0)),""))</f>
        <v/>
      </c>
      <c r="E18" s="7">
        <f>IF($A18="","",IFERROR(INDEX(Inspections!$A$2:$A$2000,SUMPRODUCT(MAX((Inspections!$E$2:$E$2000=$A18)*(IFERROR(VALUE(LEFT(Inspections!$A$2:$A$2000,8)&amp;MID(Inspections!$A$2:$A$2000,10,4)),0)=SUMPRODUCT(MAX((Inspections!$E$2:$E$2000=$A18)*IFERROR(VALUE(LEFT(Inspections!$A$2:$A$2000,8)&amp;MID(Inspections!$A$2:$A$2000,10,4)),0))))*ROW(Inspections!$A$2:$A$2000)))-1),""))</f>
        <v/>
      </c>
      <c r="F18" s="8">
        <f>IF(OR($A18="",$E18=""),"",COUNTIFS(Inspections!$A$2:$A$2000,$E18,Inspections!$R$2:$R$2000,"&lt;&gt;"))</f>
        <v/>
      </c>
      <c r="G18" s="8">
        <f>IF(OR($A18="",$E18=""),"",COUNTIFS(Inspections!$A$2:$A$2000,$E18,Inspections!$U$2:$U$2000,"REPLACE"))</f>
        <v/>
      </c>
      <c r="H18" s="8">
        <f>IF(OR($A18="",$E18=""),"",COUNTIFS(Inspections!$A$2:$A$2000,$E18,Inspections!$U$2:$U$2000,"WATCH"))</f>
        <v/>
      </c>
      <c r="I18" s="8">
        <f>IF(OR($A18="",$E18=""),"",COUNTIFS(Inspections!$A$2:$A$2000,$E18,Inspections!$U$2:$U$2000,"OK"))</f>
        <v/>
      </c>
      <c r="J18" s="9">
        <f>IF(OR($A18="",$E18=""),"",IF($F18=0,"",99-SUMPRODUCT(MAX((Inspections!$A$2:$A$2000=$E18)*(Inspections!$R$2:$R$2000&lt;&gt;"")*(99-Inspections!$R$2:$R$2000)))))</f>
        <v/>
      </c>
      <c r="K18" s="8">
        <f>IF(OR($A18="",$J18=""),"",IFERROR(INDEX(Inspections!$J$2:$J$2000,SUMPRODUCT(MAX((Inspections!$A$2:$A$2000=$E18)*(Inspections!$R$2:$R$2000=$J18)*ROW(Inspections!$J$2:$J$2000)))-1),""))</f>
        <v/>
      </c>
      <c r="L18" s="8">
        <f>IF(OR($A18="",$E18=""),"",IF($G18&gt;0,"Replace "&amp;$G18&amp;" tire(s) now — unit is out of service",IF($H18&gt;0,"Book "&amp;$H18&amp;" tire(s) soon","OK")))</f>
        <v/>
      </c>
    </row>
    <row r="19">
      <c r="A19" s="6" t="n"/>
      <c r="B19" s="7">
        <f>IF(OR($A19="",$E19=""),"",IFERROR(INDEX(Inspections!$D$2:$D$2000,MATCH($E19,Inspections!$A$2:$A$2000,0)),""))</f>
        <v/>
      </c>
      <c r="C19" s="7">
        <f>IF(OR($A19="",$E19=""),"",IFERROR(INDEX(Inspections!$B$2:$B$2000,MATCH($E19,Inspections!$A$2:$A$2000,0)),""))</f>
        <v/>
      </c>
      <c r="D19" s="7">
        <f>IF(OR($A19="",$E19=""),"",IFERROR(INDEX(Inspections!$H$2:$H$2000,MATCH($E19,Inspections!$A$2:$A$2000,0)),""))</f>
        <v/>
      </c>
      <c r="E19" s="7">
        <f>IF($A19="","",IFERROR(INDEX(Inspections!$A$2:$A$2000,SUMPRODUCT(MAX((Inspections!$E$2:$E$2000=$A19)*(IFERROR(VALUE(LEFT(Inspections!$A$2:$A$2000,8)&amp;MID(Inspections!$A$2:$A$2000,10,4)),0)=SUMPRODUCT(MAX((Inspections!$E$2:$E$2000=$A19)*IFERROR(VALUE(LEFT(Inspections!$A$2:$A$2000,8)&amp;MID(Inspections!$A$2:$A$2000,10,4)),0))))*ROW(Inspections!$A$2:$A$2000)))-1),""))</f>
        <v/>
      </c>
      <c r="F19" s="8">
        <f>IF(OR($A19="",$E19=""),"",COUNTIFS(Inspections!$A$2:$A$2000,$E19,Inspections!$R$2:$R$2000,"&lt;&gt;"))</f>
        <v/>
      </c>
      <c r="G19" s="8">
        <f>IF(OR($A19="",$E19=""),"",COUNTIFS(Inspections!$A$2:$A$2000,$E19,Inspections!$U$2:$U$2000,"REPLACE"))</f>
        <v/>
      </c>
      <c r="H19" s="8">
        <f>IF(OR($A19="",$E19=""),"",COUNTIFS(Inspections!$A$2:$A$2000,$E19,Inspections!$U$2:$U$2000,"WATCH"))</f>
        <v/>
      </c>
      <c r="I19" s="8">
        <f>IF(OR($A19="",$E19=""),"",COUNTIFS(Inspections!$A$2:$A$2000,$E19,Inspections!$U$2:$U$2000,"OK"))</f>
        <v/>
      </c>
      <c r="J19" s="9">
        <f>IF(OR($A19="",$E19=""),"",IF($F19=0,"",99-SUMPRODUCT(MAX((Inspections!$A$2:$A$2000=$E19)*(Inspections!$R$2:$R$2000&lt;&gt;"")*(99-Inspections!$R$2:$R$2000)))))</f>
        <v/>
      </c>
      <c r="K19" s="8">
        <f>IF(OR($A19="",$J19=""),"",IFERROR(INDEX(Inspections!$J$2:$J$2000,SUMPRODUCT(MAX((Inspections!$A$2:$A$2000=$E19)*(Inspections!$R$2:$R$2000=$J19)*ROW(Inspections!$J$2:$J$2000)))-1),""))</f>
        <v/>
      </c>
      <c r="L19" s="8">
        <f>IF(OR($A19="",$E19=""),"",IF($G19&gt;0,"Replace "&amp;$G19&amp;" tire(s) now — unit is out of service",IF($H19&gt;0,"Book "&amp;$H19&amp;" tire(s) soon","OK")))</f>
        <v/>
      </c>
    </row>
    <row r="20">
      <c r="A20" s="6" t="n"/>
      <c r="B20" s="7">
        <f>IF(OR($A20="",$E20=""),"",IFERROR(INDEX(Inspections!$D$2:$D$2000,MATCH($E20,Inspections!$A$2:$A$2000,0)),""))</f>
        <v/>
      </c>
      <c r="C20" s="7">
        <f>IF(OR($A20="",$E20=""),"",IFERROR(INDEX(Inspections!$B$2:$B$2000,MATCH($E20,Inspections!$A$2:$A$2000,0)),""))</f>
        <v/>
      </c>
      <c r="D20" s="7">
        <f>IF(OR($A20="",$E20=""),"",IFERROR(INDEX(Inspections!$H$2:$H$2000,MATCH($E20,Inspections!$A$2:$A$2000,0)),""))</f>
        <v/>
      </c>
      <c r="E20" s="7">
        <f>IF($A20="","",IFERROR(INDEX(Inspections!$A$2:$A$2000,SUMPRODUCT(MAX((Inspections!$E$2:$E$2000=$A20)*(IFERROR(VALUE(LEFT(Inspections!$A$2:$A$2000,8)&amp;MID(Inspections!$A$2:$A$2000,10,4)),0)=SUMPRODUCT(MAX((Inspections!$E$2:$E$2000=$A20)*IFERROR(VALUE(LEFT(Inspections!$A$2:$A$2000,8)&amp;MID(Inspections!$A$2:$A$2000,10,4)),0))))*ROW(Inspections!$A$2:$A$2000)))-1),""))</f>
        <v/>
      </c>
      <c r="F20" s="8">
        <f>IF(OR($A20="",$E20=""),"",COUNTIFS(Inspections!$A$2:$A$2000,$E20,Inspections!$R$2:$R$2000,"&lt;&gt;"))</f>
        <v/>
      </c>
      <c r="G20" s="8">
        <f>IF(OR($A20="",$E20=""),"",COUNTIFS(Inspections!$A$2:$A$2000,$E20,Inspections!$U$2:$U$2000,"REPLACE"))</f>
        <v/>
      </c>
      <c r="H20" s="8">
        <f>IF(OR($A20="",$E20=""),"",COUNTIFS(Inspections!$A$2:$A$2000,$E20,Inspections!$U$2:$U$2000,"WATCH"))</f>
        <v/>
      </c>
      <c r="I20" s="8">
        <f>IF(OR($A20="",$E20=""),"",COUNTIFS(Inspections!$A$2:$A$2000,$E20,Inspections!$U$2:$U$2000,"OK"))</f>
        <v/>
      </c>
      <c r="J20" s="9">
        <f>IF(OR($A20="",$E20=""),"",IF($F20=0,"",99-SUMPRODUCT(MAX((Inspections!$A$2:$A$2000=$E20)*(Inspections!$R$2:$R$2000&lt;&gt;"")*(99-Inspections!$R$2:$R$2000)))))</f>
        <v/>
      </c>
      <c r="K20" s="8">
        <f>IF(OR($A20="",$J20=""),"",IFERROR(INDEX(Inspections!$J$2:$J$2000,SUMPRODUCT(MAX((Inspections!$A$2:$A$2000=$E20)*(Inspections!$R$2:$R$2000=$J20)*ROW(Inspections!$J$2:$J$2000)))-1),""))</f>
        <v/>
      </c>
      <c r="L20" s="8">
        <f>IF(OR($A20="",$E20=""),"",IF($G20&gt;0,"Replace "&amp;$G20&amp;" tire(s) now — unit is out of service",IF($H20&gt;0,"Book "&amp;$H20&amp;" tire(s) soon","OK")))</f>
        <v/>
      </c>
    </row>
    <row r="21">
      <c r="A21" s="6" t="n"/>
      <c r="B21" s="7">
        <f>IF(OR($A21="",$E21=""),"",IFERROR(INDEX(Inspections!$D$2:$D$2000,MATCH($E21,Inspections!$A$2:$A$2000,0)),""))</f>
        <v/>
      </c>
      <c r="C21" s="7">
        <f>IF(OR($A21="",$E21=""),"",IFERROR(INDEX(Inspections!$B$2:$B$2000,MATCH($E21,Inspections!$A$2:$A$2000,0)),""))</f>
        <v/>
      </c>
      <c r="D21" s="7">
        <f>IF(OR($A21="",$E21=""),"",IFERROR(INDEX(Inspections!$H$2:$H$2000,MATCH($E21,Inspections!$A$2:$A$2000,0)),""))</f>
        <v/>
      </c>
      <c r="E21" s="7">
        <f>IF($A21="","",IFERROR(INDEX(Inspections!$A$2:$A$2000,SUMPRODUCT(MAX((Inspections!$E$2:$E$2000=$A21)*(IFERROR(VALUE(LEFT(Inspections!$A$2:$A$2000,8)&amp;MID(Inspections!$A$2:$A$2000,10,4)),0)=SUMPRODUCT(MAX((Inspections!$E$2:$E$2000=$A21)*IFERROR(VALUE(LEFT(Inspections!$A$2:$A$2000,8)&amp;MID(Inspections!$A$2:$A$2000,10,4)),0))))*ROW(Inspections!$A$2:$A$2000)))-1),""))</f>
        <v/>
      </c>
      <c r="F21" s="8">
        <f>IF(OR($A21="",$E21=""),"",COUNTIFS(Inspections!$A$2:$A$2000,$E21,Inspections!$R$2:$R$2000,"&lt;&gt;"))</f>
        <v/>
      </c>
      <c r="G21" s="8">
        <f>IF(OR($A21="",$E21=""),"",COUNTIFS(Inspections!$A$2:$A$2000,$E21,Inspections!$U$2:$U$2000,"REPLACE"))</f>
        <v/>
      </c>
      <c r="H21" s="8">
        <f>IF(OR($A21="",$E21=""),"",COUNTIFS(Inspections!$A$2:$A$2000,$E21,Inspections!$U$2:$U$2000,"WATCH"))</f>
        <v/>
      </c>
      <c r="I21" s="8">
        <f>IF(OR($A21="",$E21=""),"",COUNTIFS(Inspections!$A$2:$A$2000,$E21,Inspections!$U$2:$U$2000,"OK"))</f>
        <v/>
      </c>
      <c r="J21" s="9">
        <f>IF(OR($A21="",$E21=""),"",IF($F21=0,"",99-SUMPRODUCT(MAX((Inspections!$A$2:$A$2000=$E21)*(Inspections!$R$2:$R$2000&lt;&gt;"")*(99-Inspections!$R$2:$R$2000)))))</f>
        <v/>
      </c>
      <c r="K21" s="8">
        <f>IF(OR($A21="",$J21=""),"",IFERROR(INDEX(Inspections!$J$2:$J$2000,SUMPRODUCT(MAX((Inspections!$A$2:$A$2000=$E21)*(Inspections!$R$2:$R$2000=$J21)*ROW(Inspections!$J$2:$J$2000)))-1),""))</f>
        <v/>
      </c>
      <c r="L21" s="8">
        <f>IF(OR($A21="",$E21=""),"",IF($G21&gt;0,"Replace "&amp;$G21&amp;" tire(s) now — unit is out of service",IF($H21&gt;0,"Book "&amp;$H21&amp;" tire(s) soon","OK")))</f>
        <v/>
      </c>
    </row>
    <row r="22">
      <c r="A22" s="6" t="n"/>
      <c r="B22" s="7">
        <f>IF(OR($A22="",$E22=""),"",IFERROR(INDEX(Inspections!$D$2:$D$2000,MATCH($E22,Inspections!$A$2:$A$2000,0)),""))</f>
        <v/>
      </c>
      <c r="C22" s="7">
        <f>IF(OR($A22="",$E22=""),"",IFERROR(INDEX(Inspections!$B$2:$B$2000,MATCH($E22,Inspections!$A$2:$A$2000,0)),""))</f>
        <v/>
      </c>
      <c r="D22" s="7">
        <f>IF(OR($A22="",$E22=""),"",IFERROR(INDEX(Inspections!$H$2:$H$2000,MATCH($E22,Inspections!$A$2:$A$2000,0)),""))</f>
        <v/>
      </c>
      <c r="E22" s="7">
        <f>IF($A22="","",IFERROR(INDEX(Inspections!$A$2:$A$2000,SUMPRODUCT(MAX((Inspections!$E$2:$E$2000=$A22)*(IFERROR(VALUE(LEFT(Inspections!$A$2:$A$2000,8)&amp;MID(Inspections!$A$2:$A$2000,10,4)),0)=SUMPRODUCT(MAX((Inspections!$E$2:$E$2000=$A22)*IFERROR(VALUE(LEFT(Inspections!$A$2:$A$2000,8)&amp;MID(Inspections!$A$2:$A$2000,10,4)),0))))*ROW(Inspections!$A$2:$A$2000)))-1),""))</f>
        <v/>
      </c>
      <c r="F22" s="8">
        <f>IF(OR($A22="",$E22=""),"",COUNTIFS(Inspections!$A$2:$A$2000,$E22,Inspections!$R$2:$R$2000,"&lt;&gt;"))</f>
        <v/>
      </c>
      <c r="G22" s="8">
        <f>IF(OR($A22="",$E22=""),"",COUNTIFS(Inspections!$A$2:$A$2000,$E22,Inspections!$U$2:$U$2000,"REPLACE"))</f>
        <v/>
      </c>
      <c r="H22" s="8">
        <f>IF(OR($A22="",$E22=""),"",COUNTIFS(Inspections!$A$2:$A$2000,$E22,Inspections!$U$2:$U$2000,"WATCH"))</f>
        <v/>
      </c>
      <c r="I22" s="8">
        <f>IF(OR($A22="",$E22=""),"",COUNTIFS(Inspections!$A$2:$A$2000,$E22,Inspections!$U$2:$U$2000,"OK"))</f>
        <v/>
      </c>
      <c r="J22" s="9">
        <f>IF(OR($A22="",$E22=""),"",IF($F22=0,"",99-SUMPRODUCT(MAX((Inspections!$A$2:$A$2000=$E22)*(Inspections!$R$2:$R$2000&lt;&gt;"")*(99-Inspections!$R$2:$R$2000)))))</f>
        <v/>
      </c>
      <c r="K22" s="8">
        <f>IF(OR($A22="",$J22=""),"",IFERROR(INDEX(Inspections!$J$2:$J$2000,SUMPRODUCT(MAX((Inspections!$A$2:$A$2000=$E22)*(Inspections!$R$2:$R$2000=$J22)*ROW(Inspections!$J$2:$J$2000)))-1),""))</f>
        <v/>
      </c>
      <c r="L22" s="8">
        <f>IF(OR($A22="",$E22=""),"",IF($G22&gt;0,"Replace "&amp;$G22&amp;" tire(s) now — unit is out of service",IF($H22&gt;0,"Book "&amp;$H22&amp;" tire(s) soon","OK")))</f>
        <v/>
      </c>
    </row>
    <row r="23">
      <c r="A23" s="6" t="n"/>
      <c r="B23" s="7">
        <f>IF(OR($A23="",$E23=""),"",IFERROR(INDEX(Inspections!$D$2:$D$2000,MATCH($E23,Inspections!$A$2:$A$2000,0)),""))</f>
        <v/>
      </c>
      <c r="C23" s="7">
        <f>IF(OR($A23="",$E23=""),"",IFERROR(INDEX(Inspections!$B$2:$B$2000,MATCH($E23,Inspections!$A$2:$A$2000,0)),""))</f>
        <v/>
      </c>
      <c r="D23" s="7">
        <f>IF(OR($A23="",$E23=""),"",IFERROR(INDEX(Inspections!$H$2:$H$2000,MATCH($E23,Inspections!$A$2:$A$2000,0)),""))</f>
        <v/>
      </c>
      <c r="E23" s="7">
        <f>IF($A23="","",IFERROR(INDEX(Inspections!$A$2:$A$2000,SUMPRODUCT(MAX((Inspections!$E$2:$E$2000=$A23)*(IFERROR(VALUE(LEFT(Inspections!$A$2:$A$2000,8)&amp;MID(Inspections!$A$2:$A$2000,10,4)),0)=SUMPRODUCT(MAX((Inspections!$E$2:$E$2000=$A23)*IFERROR(VALUE(LEFT(Inspections!$A$2:$A$2000,8)&amp;MID(Inspections!$A$2:$A$2000,10,4)),0))))*ROW(Inspections!$A$2:$A$2000)))-1),""))</f>
        <v/>
      </c>
      <c r="F23" s="8">
        <f>IF(OR($A23="",$E23=""),"",COUNTIFS(Inspections!$A$2:$A$2000,$E23,Inspections!$R$2:$R$2000,"&lt;&gt;"))</f>
        <v/>
      </c>
      <c r="G23" s="8">
        <f>IF(OR($A23="",$E23=""),"",COUNTIFS(Inspections!$A$2:$A$2000,$E23,Inspections!$U$2:$U$2000,"REPLACE"))</f>
        <v/>
      </c>
      <c r="H23" s="8">
        <f>IF(OR($A23="",$E23=""),"",COUNTIFS(Inspections!$A$2:$A$2000,$E23,Inspections!$U$2:$U$2000,"WATCH"))</f>
        <v/>
      </c>
      <c r="I23" s="8">
        <f>IF(OR($A23="",$E23=""),"",COUNTIFS(Inspections!$A$2:$A$2000,$E23,Inspections!$U$2:$U$2000,"OK"))</f>
        <v/>
      </c>
      <c r="J23" s="9">
        <f>IF(OR($A23="",$E23=""),"",IF($F23=0,"",99-SUMPRODUCT(MAX((Inspections!$A$2:$A$2000=$E23)*(Inspections!$R$2:$R$2000&lt;&gt;"")*(99-Inspections!$R$2:$R$2000)))))</f>
        <v/>
      </c>
      <c r="K23" s="8">
        <f>IF(OR($A23="",$J23=""),"",IFERROR(INDEX(Inspections!$J$2:$J$2000,SUMPRODUCT(MAX((Inspections!$A$2:$A$2000=$E23)*(Inspections!$R$2:$R$2000=$J23)*ROW(Inspections!$J$2:$J$2000)))-1),""))</f>
        <v/>
      </c>
      <c r="L23" s="8">
        <f>IF(OR($A23="",$E23=""),"",IF($G23&gt;0,"Replace "&amp;$G23&amp;" tire(s) now — unit is out of service",IF($H23&gt;0,"Book "&amp;$H23&amp;" tire(s) soon","OK")))</f>
        <v/>
      </c>
    </row>
    <row r="24">
      <c r="A24" s="6" t="n"/>
      <c r="B24" s="7">
        <f>IF(OR($A24="",$E24=""),"",IFERROR(INDEX(Inspections!$D$2:$D$2000,MATCH($E24,Inspections!$A$2:$A$2000,0)),""))</f>
        <v/>
      </c>
      <c r="C24" s="7">
        <f>IF(OR($A24="",$E24=""),"",IFERROR(INDEX(Inspections!$B$2:$B$2000,MATCH($E24,Inspections!$A$2:$A$2000,0)),""))</f>
        <v/>
      </c>
      <c r="D24" s="7">
        <f>IF(OR($A24="",$E24=""),"",IFERROR(INDEX(Inspections!$H$2:$H$2000,MATCH($E24,Inspections!$A$2:$A$2000,0)),""))</f>
        <v/>
      </c>
      <c r="E24" s="7">
        <f>IF($A24="","",IFERROR(INDEX(Inspections!$A$2:$A$2000,SUMPRODUCT(MAX((Inspections!$E$2:$E$2000=$A24)*(IFERROR(VALUE(LEFT(Inspections!$A$2:$A$2000,8)&amp;MID(Inspections!$A$2:$A$2000,10,4)),0)=SUMPRODUCT(MAX((Inspections!$E$2:$E$2000=$A24)*IFERROR(VALUE(LEFT(Inspections!$A$2:$A$2000,8)&amp;MID(Inspections!$A$2:$A$2000,10,4)),0))))*ROW(Inspections!$A$2:$A$2000)))-1),""))</f>
        <v/>
      </c>
      <c r="F24" s="8">
        <f>IF(OR($A24="",$E24=""),"",COUNTIFS(Inspections!$A$2:$A$2000,$E24,Inspections!$R$2:$R$2000,"&lt;&gt;"))</f>
        <v/>
      </c>
      <c r="G24" s="8">
        <f>IF(OR($A24="",$E24=""),"",COUNTIFS(Inspections!$A$2:$A$2000,$E24,Inspections!$U$2:$U$2000,"REPLACE"))</f>
        <v/>
      </c>
      <c r="H24" s="8">
        <f>IF(OR($A24="",$E24=""),"",COUNTIFS(Inspections!$A$2:$A$2000,$E24,Inspections!$U$2:$U$2000,"WATCH"))</f>
        <v/>
      </c>
      <c r="I24" s="8">
        <f>IF(OR($A24="",$E24=""),"",COUNTIFS(Inspections!$A$2:$A$2000,$E24,Inspections!$U$2:$U$2000,"OK"))</f>
        <v/>
      </c>
      <c r="J24" s="9">
        <f>IF(OR($A24="",$E24=""),"",IF($F24=0,"",99-SUMPRODUCT(MAX((Inspections!$A$2:$A$2000=$E24)*(Inspections!$R$2:$R$2000&lt;&gt;"")*(99-Inspections!$R$2:$R$2000)))))</f>
        <v/>
      </c>
      <c r="K24" s="8">
        <f>IF(OR($A24="",$J24=""),"",IFERROR(INDEX(Inspections!$J$2:$J$2000,SUMPRODUCT(MAX((Inspections!$A$2:$A$2000=$E24)*(Inspections!$R$2:$R$2000=$J24)*ROW(Inspections!$J$2:$J$2000)))-1),""))</f>
        <v/>
      </c>
      <c r="L24" s="8">
        <f>IF(OR($A24="",$E24=""),"",IF($G24&gt;0,"Replace "&amp;$G24&amp;" tire(s) now — unit is out of service",IF($H24&gt;0,"Book "&amp;$H24&amp;" tire(s) soon","OK")))</f>
        <v/>
      </c>
    </row>
    <row r="25">
      <c r="A25" s="6" t="n"/>
      <c r="B25" s="7">
        <f>IF(OR($A25="",$E25=""),"",IFERROR(INDEX(Inspections!$D$2:$D$2000,MATCH($E25,Inspections!$A$2:$A$2000,0)),""))</f>
        <v/>
      </c>
      <c r="C25" s="7">
        <f>IF(OR($A25="",$E25=""),"",IFERROR(INDEX(Inspections!$B$2:$B$2000,MATCH($E25,Inspections!$A$2:$A$2000,0)),""))</f>
        <v/>
      </c>
      <c r="D25" s="7">
        <f>IF(OR($A25="",$E25=""),"",IFERROR(INDEX(Inspections!$H$2:$H$2000,MATCH($E25,Inspections!$A$2:$A$2000,0)),""))</f>
        <v/>
      </c>
      <c r="E25" s="7">
        <f>IF($A25="","",IFERROR(INDEX(Inspections!$A$2:$A$2000,SUMPRODUCT(MAX((Inspections!$E$2:$E$2000=$A25)*(IFERROR(VALUE(LEFT(Inspections!$A$2:$A$2000,8)&amp;MID(Inspections!$A$2:$A$2000,10,4)),0)=SUMPRODUCT(MAX((Inspections!$E$2:$E$2000=$A25)*IFERROR(VALUE(LEFT(Inspections!$A$2:$A$2000,8)&amp;MID(Inspections!$A$2:$A$2000,10,4)),0))))*ROW(Inspections!$A$2:$A$2000)))-1),""))</f>
        <v/>
      </c>
      <c r="F25" s="8">
        <f>IF(OR($A25="",$E25=""),"",COUNTIFS(Inspections!$A$2:$A$2000,$E25,Inspections!$R$2:$R$2000,"&lt;&gt;"))</f>
        <v/>
      </c>
      <c r="G25" s="8">
        <f>IF(OR($A25="",$E25=""),"",COUNTIFS(Inspections!$A$2:$A$2000,$E25,Inspections!$U$2:$U$2000,"REPLACE"))</f>
        <v/>
      </c>
      <c r="H25" s="8">
        <f>IF(OR($A25="",$E25=""),"",COUNTIFS(Inspections!$A$2:$A$2000,$E25,Inspections!$U$2:$U$2000,"WATCH"))</f>
        <v/>
      </c>
      <c r="I25" s="8">
        <f>IF(OR($A25="",$E25=""),"",COUNTIFS(Inspections!$A$2:$A$2000,$E25,Inspections!$U$2:$U$2000,"OK"))</f>
        <v/>
      </c>
      <c r="J25" s="9">
        <f>IF(OR($A25="",$E25=""),"",IF($F25=0,"",99-SUMPRODUCT(MAX((Inspections!$A$2:$A$2000=$E25)*(Inspections!$R$2:$R$2000&lt;&gt;"")*(99-Inspections!$R$2:$R$2000)))))</f>
        <v/>
      </c>
      <c r="K25" s="8">
        <f>IF(OR($A25="",$J25=""),"",IFERROR(INDEX(Inspections!$J$2:$J$2000,SUMPRODUCT(MAX((Inspections!$A$2:$A$2000=$E25)*(Inspections!$R$2:$R$2000=$J25)*ROW(Inspections!$J$2:$J$2000)))-1),""))</f>
        <v/>
      </c>
      <c r="L25" s="8">
        <f>IF(OR($A25="",$E25=""),"",IF($G25&gt;0,"Replace "&amp;$G25&amp;" tire(s) now — unit is out of service",IF($H25&gt;0,"Book "&amp;$H25&amp;" tire(s) soon","OK")))</f>
        <v/>
      </c>
    </row>
    <row r="26">
      <c r="A26" s="6" t="n"/>
      <c r="B26" s="7">
        <f>IF(OR($A26="",$E26=""),"",IFERROR(INDEX(Inspections!$D$2:$D$2000,MATCH($E26,Inspections!$A$2:$A$2000,0)),""))</f>
        <v/>
      </c>
      <c r="C26" s="7">
        <f>IF(OR($A26="",$E26=""),"",IFERROR(INDEX(Inspections!$B$2:$B$2000,MATCH($E26,Inspections!$A$2:$A$2000,0)),""))</f>
        <v/>
      </c>
      <c r="D26" s="7">
        <f>IF(OR($A26="",$E26=""),"",IFERROR(INDEX(Inspections!$H$2:$H$2000,MATCH($E26,Inspections!$A$2:$A$2000,0)),""))</f>
        <v/>
      </c>
      <c r="E26" s="7">
        <f>IF($A26="","",IFERROR(INDEX(Inspections!$A$2:$A$2000,SUMPRODUCT(MAX((Inspections!$E$2:$E$2000=$A26)*(IFERROR(VALUE(LEFT(Inspections!$A$2:$A$2000,8)&amp;MID(Inspections!$A$2:$A$2000,10,4)),0)=SUMPRODUCT(MAX((Inspections!$E$2:$E$2000=$A26)*IFERROR(VALUE(LEFT(Inspections!$A$2:$A$2000,8)&amp;MID(Inspections!$A$2:$A$2000,10,4)),0))))*ROW(Inspections!$A$2:$A$2000)))-1),""))</f>
        <v/>
      </c>
      <c r="F26" s="8">
        <f>IF(OR($A26="",$E26=""),"",COUNTIFS(Inspections!$A$2:$A$2000,$E26,Inspections!$R$2:$R$2000,"&lt;&gt;"))</f>
        <v/>
      </c>
      <c r="G26" s="8">
        <f>IF(OR($A26="",$E26=""),"",COUNTIFS(Inspections!$A$2:$A$2000,$E26,Inspections!$U$2:$U$2000,"REPLACE"))</f>
        <v/>
      </c>
      <c r="H26" s="8">
        <f>IF(OR($A26="",$E26=""),"",COUNTIFS(Inspections!$A$2:$A$2000,$E26,Inspections!$U$2:$U$2000,"WATCH"))</f>
        <v/>
      </c>
      <c r="I26" s="8">
        <f>IF(OR($A26="",$E26=""),"",COUNTIFS(Inspections!$A$2:$A$2000,$E26,Inspections!$U$2:$U$2000,"OK"))</f>
        <v/>
      </c>
      <c r="J26" s="9">
        <f>IF(OR($A26="",$E26=""),"",IF($F26=0,"",99-SUMPRODUCT(MAX((Inspections!$A$2:$A$2000=$E26)*(Inspections!$R$2:$R$2000&lt;&gt;"")*(99-Inspections!$R$2:$R$2000)))))</f>
        <v/>
      </c>
      <c r="K26" s="8">
        <f>IF(OR($A26="",$J26=""),"",IFERROR(INDEX(Inspections!$J$2:$J$2000,SUMPRODUCT(MAX((Inspections!$A$2:$A$2000=$E26)*(Inspections!$R$2:$R$2000=$J26)*ROW(Inspections!$J$2:$J$2000)))-1),""))</f>
        <v/>
      </c>
      <c r="L26" s="8">
        <f>IF(OR($A26="",$E26=""),"",IF($G26&gt;0,"Replace "&amp;$G26&amp;" tire(s) now — unit is out of service",IF($H26&gt;0,"Book "&amp;$H26&amp;" tire(s) soon","OK")))</f>
        <v/>
      </c>
    </row>
    <row r="27">
      <c r="A27" s="6" t="n"/>
      <c r="B27" s="7">
        <f>IF(OR($A27="",$E27=""),"",IFERROR(INDEX(Inspections!$D$2:$D$2000,MATCH($E27,Inspections!$A$2:$A$2000,0)),""))</f>
        <v/>
      </c>
      <c r="C27" s="7">
        <f>IF(OR($A27="",$E27=""),"",IFERROR(INDEX(Inspections!$B$2:$B$2000,MATCH($E27,Inspections!$A$2:$A$2000,0)),""))</f>
        <v/>
      </c>
      <c r="D27" s="7">
        <f>IF(OR($A27="",$E27=""),"",IFERROR(INDEX(Inspections!$H$2:$H$2000,MATCH($E27,Inspections!$A$2:$A$2000,0)),""))</f>
        <v/>
      </c>
      <c r="E27" s="7">
        <f>IF($A27="","",IFERROR(INDEX(Inspections!$A$2:$A$2000,SUMPRODUCT(MAX((Inspections!$E$2:$E$2000=$A27)*(IFERROR(VALUE(LEFT(Inspections!$A$2:$A$2000,8)&amp;MID(Inspections!$A$2:$A$2000,10,4)),0)=SUMPRODUCT(MAX((Inspections!$E$2:$E$2000=$A27)*IFERROR(VALUE(LEFT(Inspections!$A$2:$A$2000,8)&amp;MID(Inspections!$A$2:$A$2000,10,4)),0))))*ROW(Inspections!$A$2:$A$2000)))-1),""))</f>
        <v/>
      </c>
      <c r="F27" s="8">
        <f>IF(OR($A27="",$E27=""),"",COUNTIFS(Inspections!$A$2:$A$2000,$E27,Inspections!$R$2:$R$2000,"&lt;&gt;"))</f>
        <v/>
      </c>
      <c r="G27" s="8">
        <f>IF(OR($A27="",$E27=""),"",COUNTIFS(Inspections!$A$2:$A$2000,$E27,Inspections!$U$2:$U$2000,"REPLACE"))</f>
        <v/>
      </c>
      <c r="H27" s="8">
        <f>IF(OR($A27="",$E27=""),"",COUNTIFS(Inspections!$A$2:$A$2000,$E27,Inspections!$U$2:$U$2000,"WATCH"))</f>
        <v/>
      </c>
      <c r="I27" s="8">
        <f>IF(OR($A27="",$E27=""),"",COUNTIFS(Inspections!$A$2:$A$2000,$E27,Inspections!$U$2:$U$2000,"OK"))</f>
        <v/>
      </c>
      <c r="J27" s="9">
        <f>IF(OR($A27="",$E27=""),"",IF($F27=0,"",99-SUMPRODUCT(MAX((Inspections!$A$2:$A$2000=$E27)*(Inspections!$R$2:$R$2000&lt;&gt;"")*(99-Inspections!$R$2:$R$2000)))))</f>
        <v/>
      </c>
      <c r="K27" s="8">
        <f>IF(OR($A27="",$J27=""),"",IFERROR(INDEX(Inspections!$J$2:$J$2000,SUMPRODUCT(MAX((Inspections!$A$2:$A$2000=$E27)*(Inspections!$R$2:$R$2000=$J27)*ROW(Inspections!$J$2:$J$2000)))-1),""))</f>
        <v/>
      </c>
      <c r="L27" s="8">
        <f>IF(OR($A27="",$E27=""),"",IF($G27&gt;0,"Replace "&amp;$G27&amp;" tire(s) now — unit is out of service",IF($H27&gt;0,"Book "&amp;$H27&amp;" tire(s) soon","OK")))</f>
        <v/>
      </c>
    </row>
    <row r="28">
      <c r="A28" s="6" t="n"/>
      <c r="B28" s="7">
        <f>IF(OR($A28="",$E28=""),"",IFERROR(INDEX(Inspections!$D$2:$D$2000,MATCH($E28,Inspections!$A$2:$A$2000,0)),""))</f>
        <v/>
      </c>
      <c r="C28" s="7">
        <f>IF(OR($A28="",$E28=""),"",IFERROR(INDEX(Inspections!$B$2:$B$2000,MATCH($E28,Inspections!$A$2:$A$2000,0)),""))</f>
        <v/>
      </c>
      <c r="D28" s="7">
        <f>IF(OR($A28="",$E28=""),"",IFERROR(INDEX(Inspections!$H$2:$H$2000,MATCH($E28,Inspections!$A$2:$A$2000,0)),""))</f>
        <v/>
      </c>
      <c r="E28" s="7">
        <f>IF($A28="","",IFERROR(INDEX(Inspections!$A$2:$A$2000,SUMPRODUCT(MAX((Inspections!$E$2:$E$2000=$A28)*(IFERROR(VALUE(LEFT(Inspections!$A$2:$A$2000,8)&amp;MID(Inspections!$A$2:$A$2000,10,4)),0)=SUMPRODUCT(MAX((Inspections!$E$2:$E$2000=$A28)*IFERROR(VALUE(LEFT(Inspections!$A$2:$A$2000,8)&amp;MID(Inspections!$A$2:$A$2000,10,4)),0))))*ROW(Inspections!$A$2:$A$2000)))-1),""))</f>
        <v/>
      </c>
      <c r="F28" s="8">
        <f>IF(OR($A28="",$E28=""),"",COUNTIFS(Inspections!$A$2:$A$2000,$E28,Inspections!$R$2:$R$2000,"&lt;&gt;"))</f>
        <v/>
      </c>
      <c r="G28" s="8">
        <f>IF(OR($A28="",$E28=""),"",COUNTIFS(Inspections!$A$2:$A$2000,$E28,Inspections!$U$2:$U$2000,"REPLACE"))</f>
        <v/>
      </c>
      <c r="H28" s="8">
        <f>IF(OR($A28="",$E28=""),"",COUNTIFS(Inspections!$A$2:$A$2000,$E28,Inspections!$U$2:$U$2000,"WATCH"))</f>
        <v/>
      </c>
      <c r="I28" s="8">
        <f>IF(OR($A28="",$E28=""),"",COUNTIFS(Inspections!$A$2:$A$2000,$E28,Inspections!$U$2:$U$2000,"OK"))</f>
        <v/>
      </c>
      <c r="J28" s="9">
        <f>IF(OR($A28="",$E28=""),"",IF($F28=0,"",99-SUMPRODUCT(MAX((Inspections!$A$2:$A$2000=$E28)*(Inspections!$R$2:$R$2000&lt;&gt;"")*(99-Inspections!$R$2:$R$2000)))))</f>
        <v/>
      </c>
      <c r="K28" s="8">
        <f>IF(OR($A28="",$J28=""),"",IFERROR(INDEX(Inspections!$J$2:$J$2000,SUMPRODUCT(MAX((Inspections!$A$2:$A$2000=$E28)*(Inspections!$R$2:$R$2000=$J28)*ROW(Inspections!$J$2:$J$2000)))-1),""))</f>
        <v/>
      </c>
      <c r="L28" s="8">
        <f>IF(OR($A28="",$E28=""),"",IF($G28&gt;0,"Replace "&amp;$G28&amp;" tire(s) now — unit is out of service",IF($H28&gt;0,"Book "&amp;$H28&amp;" tire(s) soon","OK")))</f>
        <v/>
      </c>
    </row>
    <row r="29">
      <c r="A29" s="6" t="n"/>
      <c r="B29" s="7">
        <f>IF(OR($A29="",$E29=""),"",IFERROR(INDEX(Inspections!$D$2:$D$2000,MATCH($E29,Inspections!$A$2:$A$2000,0)),""))</f>
        <v/>
      </c>
      <c r="C29" s="7">
        <f>IF(OR($A29="",$E29=""),"",IFERROR(INDEX(Inspections!$B$2:$B$2000,MATCH($E29,Inspections!$A$2:$A$2000,0)),""))</f>
        <v/>
      </c>
      <c r="D29" s="7">
        <f>IF(OR($A29="",$E29=""),"",IFERROR(INDEX(Inspections!$H$2:$H$2000,MATCH($E29,Inspections!$A$2:$A$2000,0)),""))</f>
        <v/>
      </c>
      <c r="E29" s="7">
        <f>IF($A29="","",IFERROR(INDEX(Inspections!$A$2:$A$2000,SUMPRODUCT(MAX((Inspections!$E$2:$E$2000=$A29)*(IFERROR(VALUE(LEFT(Inspections!$A$2:$A$2000,8)&amp;MID(Inspections!$A$2:$A$2000,10,4)),0)=SUMPRODUCT(MAX((Inspections!$E$2:$E$2000=$A29)*IFERROR(VALUE(LEFT(Inspections!$A$2:$A$2000,8)&amp;MID(Inspections!$A$2:$A$2000,10,4)),0))))*ROW(Inspections!$A$2:$A$2000)))-1),""))</f>
        <v/>
      </c>
      <c r="F29" s="8">
        <f>IF(OR($A29="",$E29=""),"",COUNTIFS(Inspections!$A$2:$A$2000,$E29,Inspections!$R$2:$R$2000,"&lt;&gt;"))</f>
        <v/>
      </c>
      <c r="G29" s="8">
        <f>IF(OR($A29="",$E29=""),"",COUNTIFS(Inspections!$A$2:$A$2000,$E29,Inspections!$U$2:$U$2000,"REPLACE"))</f>
        <v/>
      </c>
      <c r="H29" s="8">
        <f>IF(OR($A29="",$E29=""),"",COUNTIFS(Inspections!$A$2:$A$2000,$E29,Inspections!$U$2:$U$2000,"WATCH"))</f>
        <v/>
      </c>
      <c r="I29" s="8">
        <f>IF(OR($A29="",$E29=""),"",COUNTIFS(Inspections!$A$2:$A$2000,$E29,Inspections!$U$2:$U$2000,"OK"))</f>
        <v/>
      </c>
      <c r="J29" s="9">
        <f>IF(OR($A29="",$E29=""),"",IF($F29=0,"",99-SUMPRODUCT(MAX((Inspections!$A$2:$A$2000=$E29)*(Inspections!$R$2:$R$2000&lt;&gt;"")*(99-Inspections!$R$2:$R$2000)))))</f>
        <v/>
      </c>
      <c r="K29" s="8">
        <f>IF(OR($A29="",$J29=""),"",IFERROR(INDEX(Inspections!$J$2:$J$2000,SUMPRODUCT(MAX((Inspections!$A$2:$A$2000=$E29)*(Inspections!$R$2:$R$2000=$J29)*ROW(Inspections!$J$2:$J$2000)))-1),""))</f>
        <v/>
      </c>
      <c r="L29" s="8">
        <f>IF(OR($A29="",$E29=""),"",IF($G29&gt;0,"Replace "&amp;$G29&amp;" tire(s) now — unit is out of service",IF($H29&gt;0,"Book "&amp;$H29&amp;" tire(s) soon","OK")))</f>
        <v/>
      </c>
    </row>
    <row r="30">
      <c r="A30" s="6" t="n"/>
      <c r="B30" s="7">
        <f>IF(OR($A30="",$E30=""),"",IFERROR(INDEX(Inspections!$D$2:$D$2000,MATCH($E30,Inspections!$A$2:$A$2000,0)),""))</f>
        <v/>
      </c>
      <c r="C30" s="7">
        <f>IF(OR($A30="",$E30=""),"",IFERROR(INDEX(Inspections!$B$2:$B$2000,MATCH($E30,Inspections!$A$2:$A$2000,0)),""))</f>
        <v/>
      </c>
      <c r="D30" s="7">
        <f>IF(OR($A30="",$E30=""),"",IFERROR(INDEX(Inspections!$H$2:$H$2000,MATCH($E30,Inspections!$A$2:$A$2000,0)),""))</f>
        <v/>
      </c>
      <c r="E30" s="7">
        <f>IF($A30="","",IFERROR(INDEX(Inspections!$A$2:$A$2000,SUMPRODUCT(MAX((Inspections!$E$2:$E$2000=$A30)*(IFERROR(VALUE(LEFT(Inspections!$A$2:$A$2000,8)&amp;MID(Inspections!$A$2:$A$2000,10,4)),0)=SUMPRODUCT(MAX((Inspections!$E$2:$E$2000=$A30)*IFERROR(VALUE(LEFT(Inspections!$A$2:$A$2000,8)&amp;MID(Inspections!$A$2:$A$2000,10,4)),0))))*ROW(Inspections!$A$2:$A$2000)))-1),""))</f>
        <v/>
      </c>
      <c r="F30" s="8">
        <f>IF(OR($A30="",$E30=""),"",COUNTIFS(Inspections!$A$2:$A$2000,$E30,Inspections!$R$2:$R$2000,"&lt;&gt;"))</f>
        <v/>
      </c>
      <c r="G30" s="8">
        <f>IF(OR($A30="",$E30=""),"",COUNTIFS(Inspections!$A$2:$A$2000,$E30,Inspections!$U$2:$U$2000,"REPLACE"))</f>
        <v/>
      </c>
      <c r="H30" s="8">
        <f>IF(OR($A30="",$E30=""),"",COUNTIFS(Inspections!$A$2:$A$2000,$E30,Inspections!$U$2:$U$2000,"WATCH"))</f>
        <v/>
      </c>
      <c r="I30" s="8">
        <f>IF(OR($A30="",$E30=""),"",COUNTIFS(Inspections!$A$2:$A$2000,$E30,Inspections!$U$2:$U$2000,"OK"))</f>
        <v/>
      </c>
      <c r="J30" s="9">
        <f>IF(OR($A30="",$E30=""),"",IF($F30=0,"",99-SUMPRODUCT(MAX((Inspections!$A$2:$A$2000=$E30)*(Inspections!$R$2:$R$2000&lt;&gt;"")*(99-Inspections!$R$2:$R$2000)))))</f>
        <v/>
      </c>
      <c r="K30" s="8">
        <f>IF(OR($A30="",$J30=""),"",IFERROR(INDEX(Inspections!$J$2:$J$2000,SUMPRODUCT(MAX((Inspections!$A$2:$A$2000=$E30)*(Inspections!$R$2:$R$2000=$J30)*ROW(Inspections!$J$2:$J$2000)))-1),""))</f>
        <v/>
      </c>
      <c r="L30" s="8">
        <f>IF(OR($A30="",$E30=""),"",IF($G30&gt;0,"Replace "&amp;$G30&amp;" tire(s) now — unit is out of service",IF($H30&gt;0,"Book "&amp;$H30&amp;" tire(s) soon","OK")))</f>
        <v/>
      </c>
    </row>
    <row r="31">
      <c r="A31" s="6" t="n"/>
      <c r="B31" s="7">
        <f>IF(OR($A31="",$E31=""),"",IFERROR(INDEX(Inspections!$D$2:$D$2000,MATCH($E31,Inspections!$A$2:$A$2000,0)),""))</f>
        <v/>
      </c>
      <c r="C31" s="7">
        <f>IF(OR($A31="",$E31=""),"",IFERROR(INDEX(Inspections!$B$2:$B$2000,MATCH($E31,Inspections!$A$2:$A$2000,0)),""))</f>
        <v/>
      </c>
      <c r="D31" s="7">
        <f>IF(OR($A31="",$E31=""),"",IFERROR(INDEX(Inspections!$H$2:$H$2000,MATCH($E31,Inspections!$A$2:$A$2000,0)),""))</f>
        <v/>
      </c>
      <c r="E31" s="7">
        <f>IF($A31="","",IFERROR(INDEX(Inspections!$A$2:$A$2000,SUMPRODUCT(MAX((Inspections!$E$2:$E$2000=$A31)*(IFERROR(VALUE(LEFT(Inspections!$A$2:$A$2000,8)&amp;MID(Inspections!$A$2:$A$2000,10,4)),0)=SUMPRODUCT(MAX((Inspections!$E$2:$E$2000=$A31)*IFERROR(VALUE(LEFT(Inspections!$A$2:$A$2000,8)&amp;MID(Inspections!$A$2:$A$2000,10,4)),0))))*ROW(Inspections!$A$2:$A$2000)))-1),""))</f>
        <v/>
      </c>
      <c r="F31" s="8">
        <f>IF(OR($A31="",$E31=""),"",COUNTIFS(Inspections!$A$2:$A$2000,$E31,Inspections!$R$2:$R$2000,"&lt;&gt;"))</f>
        <v/>
      </c>
      <c r="G31" s="8">
        <f>IF(OR($A31="",$E31=""),"",COUNTIFS(Inspections!$A$2:$A$2000,$E31,Inspections!$U$2:$U$2000,"REPLACE"))</f>
        <v/>
      </c>
      <c r="H31" s="8">
        <f>IF(OR($A31="",$E31=""),"",COUNTIFS(Inspections!$A$2:$A$2000,$E31,Inspections!$U$2:$U$2000,"WATCH"))</f>
        <v/>
      </c>
      <c r="I31" s="8">
        <f>IF(OR($A31="",$E31=""),"",COUNTIFS(Inspections!$A$2:$A$2000,$E31,Inspections!$U$2:$U$2000,"OK"))</f>
        <v/>
      </c>
      <c r="J31" s="9">
        <f>IF(OR($A31="",$E31=""),"",IF($F31=0,"",99-SUMPRODUCT(MAX((Inspections!$A$2:$A$2000=$E31)*(Inspections!$R$2:$R$2000&lt;&gt;"")*(99-Inspections!$R$2:$R$2000)))))</f>
        <v/>
      </c>
      <c r="K31" s="8">
        <f>IF(OR($A31="",$J31=""),"",IFERROR(INDEX(Inspections!$J$2:$J$2000,SUMPRODUCT(MAX((Inspections!$A$2:$A$2000=$E31)*(Inspections!$R$2:$R$2000=$J31)*ROW(Inspections!$J$2:$J$2000)))-1),""))</f>
        <v/>
      </c>
      <c r="L31" s="8">
        <f>IF(OR($A31="",$E31=""),"",IF($G31&gt;0,"Replace "&amp;$G31&amp;" tire(s) now — unit is out of service",IF($H31&gt;0,"Book "&amp;$H31&amp;" tire(s) soon","OK")))</f>
        <v/>
      </c>
    </row>
    <row r="32">
      <c r="A32" s="6" t="n"/>
      <c r="B32" s="7">
        <f>IF(OR($A32="",$E32=""),"",IFERROR(INDEX(Inspections!$D$2:$D$2000,MATCH($E32,Inspections!$A$2:$A$2000,0)),""))</f>
        <v/>
      </c>
      <c r="C32" s="7">
        <f>IF(OR($A32="",$E32=""),"",IFERROR(INDEX(Inspections!$B$2:$B$2000,MATCH($E32,Inspections!$A$2:$A$2000,0)),""))</f>
        <v/>
      </c>
      <c r="D32" s="7">
        <f>IF(OR($A32="",$E32=""),"",IFERROR(INDEX(Inspections!$H$2:$H$2000,MATCH($E32,Inspections!$A$2:$A$2000,0)),""))</f>
        <v/>
      </c>
      <c r="E32" s="7">
        <f>IF($A32="","",IFERROR(INDEX(Inspections!$A$2:$A$2000,SUMPRODUCT(MAX((Inspections!$E$2:$E$2000=$A32)*(IFERROR(VALUE(LEFT(Inspections!$A$2:$A$2000,8)&amp;MID(Inspections!$A$2:$A$2000,10,4)),0)=SUMPRODUCT(MAX((Inspections!$E$2:$E$2000=$A32)*IFERROR(VALUE(LEFT(Inspections!$A$2:$A$2000,8)&amp;MID(Inspections!$A$2:$A$2000,10,4)),0))))*ROW(Inspections!$A$2:$A$2000)))-1),""))</f>
        <v/>
      </c>
      <c r="F32" s="8">
        <f>IF(OR($A32="",$E32=""),"",COUNTIFS(Inspections!$A$2:$A$2000,$E32,Inspections!$R$2:$R$2000,"&lt;&gt;"))</f>
        <v/>
      </c>
      <c r="G32" s="8">
        <f>IF(OR($A32="",$E32=""),"",COUNTIFS(Inspections!$A$2:$A$2000,$E32,Inspections!$U$2:$U$2000,"REPLACE"))</f>
        <v/>
      </c>
      <c r="H32" s="8">
        <f>IF(OR($A32="",$E32=""),"",COUNTIFS(Inspections!$A$2:$A$2000,$E32,Inspections!$U$2:$U$2000,"WATCH"))</f>
        <v/>
      </c>
      <c r="I32" s="8">
        <f>IF(OR($A32="",$E32=""),"",COUNTIFS(Inspections!$A$2:$A$2000,$E32,Inspections!$U$2:$U$2000,"OK"))</f>
        <v/>
      </c>
      <c r="J32" s="9">
        <f>IF(OR($A32="",$E32=""),"",IF($F32=0,"",99-SUMPRODUCT(MAX((Inspections!$A$2:$A$2000=$E32)*(Inspections!$R$2:$R$2000&lt;&gt;"")*(99-Inspections!$R$2:$R$2000)))))</f>
        <v/>
      </c>
      <c r="K32" s="8">
        <f>IF(OR($A32="",$J32=""),"",IFERROR(INDEX(Inspections!$J$2:$J$2000,SUMPRODUCT(MAX((Inspections!$A$2:$A$2000=$E32)*(Inspections!$R$2:$R$2000=$J32)*ROW(Inspections!$J$2:$J$2000)))-1),""))</f>
        <v/>
      </c>
      <c r="L32" s="8">
        <f>IF(OR($A32="",$E32=""),"",IF($G32&gt;0,"Replace "&amp;$G32&amp;" tire(s) now — unit is out of service",IF($H32&gt;0,"Book "&amp;$H32&amp;" tire(s) soon","OK")))</f>
        <v/>
      </c>
    </row>
    <row r="33">
      <c r="A33" s="6" t="n"/>
      <c r="B33" s="7">
        <f>IF(OR($A33="",$E33=""),"",IFERROR(INDEX(Inspections!$D$2:$D$2000,MATCH($E33,Inspections!$A$2:$A$2000,0)),""))</f>
        <v/>
      </c>
      <c r="C33" s="7">
        <f>IF(OR($A33="",$E33=""),"",IFERROR(INDEX(Inspections!$B$2:$B$2000,MATCH($E33,Inspections!$A$2:$A$2000,0)),""))</f>
        <v/>
      </c>
      <c r="D33" s="7">
        <f>IF(OR($A33="",$E33=""),"",IFERROR(INDEX(Inspections!$H$2:$H$2000,MATCH($E33,Inspections!$A$2:$A$2000,0)),""))</f>
        <v/>
      </c>
      <c r="E33" s="7">
        <f>IF($A33="","",IFERROR(INDEX(Inspections!$A$2:$A$2000,SUMPRODUCT(MAX((Inspections!$E$2:$E$2000=$A33)*(IFERROR(VALUE(LEFT(Inspections!$A$2:$A$2000,8)&amp;MID(Inspections!$A$2:$A$2000,10,4)),0)=SUMPRODUCT(MAX((Inspections!$E$2:$E$2000=$A33)*IFERROR(VALUE(LEFT(Inspections!$A$2:$A$2000,8)&amp;MID(Inspections!$A$2:$A$2000,10,4)),0))))*ROW(Inspections!$A$2:$A$2000)))-1),""))</f>
        <v/>
      </c>
      <c r="F33" s="8">
        <f>IF(OR($A33="",$E33=""),"",COUNTIFS(Inspections!$A$2:$A$2000,$E33,Inspections!$R$2:$R$2000,"&lt;&gt;"))</f>
        <v/>
      </c>
      <c r="G33" s="8">
        <f>IF(OR($A33="",$E33=""),"",COUNTIFS(Inspections!$A$2:$A$2000,$E33,Inspections!$U$2:$U$2000,"REPLACE"))</f>
        <v/>
      </c>
      <c r="H33" s="8">
        <f>IF(OR($A33="",$E33=""),"",COUNTIFS(Inspections!$A$2:$A$2000,$E33,Inspections!$U$2:$U$2000,"WATCH"))</f>
        <v/>
      </c>
      <c r="I33" s="8">
        <f>IF(OR($A33="",$E33=""),"",COUNTIFS(Inspections!$A$2:$A$2000,$E33,Inspections!$U$2:$U$2000,"OK"))</f>
        <v/>
      </c>
      <c r="J33" s="9">
        <f>IF(OR($A33="",$E33=""),"",IF($F33=0,"",99-SUMPRODUCT(MAX((Inspections!$A$2:$A$2000=$E33)*(Inspections!$R$2:$R$2000&lt;&gt;"")*(99-Inspections!$R$2:$R$2000)))))</f>
        <v/>
      </c>
      <c r="K33" s="8">
        <f>IF(OR($A33="",$J33=""),"",IFERROR(INDEX(Inspections!$J$2:$J$2000,SUMPRODUCT(MAX((Inspections!$A$2:$A$2000=$E33)*(Inspections!$R$2:$R$2000=$J33)*ROW(Inspections!$J$2:$J$2000)))-1),""))</f>
        <v/>
      </c>
      <c r="L33" s="8">
        <f>IF(OR($A33="",$E33=""),"",IF($G33&gt;0,"Replace "&amp;$G33&amp;" tire(s) now — unit is out of service",IF($H33&gt;0,"Book "&amp;$H33&amp;" tire(s) soon","OK")))</f>
        <v/>
      </c>
    </row>
    <row r="34">
      <c r="A34" s="6" t="n"/>
      <c r="B34" s="7">
        <f>IF(OR($A34="",$E34=""),"",IFERROR(INDEX(Inspections!$D$2:$D$2000,MATCH($E34,Inspections!$A$2:$A$2000,0)),""))</f>
        <v/>
      </c>
      <c r="C34" s="7">
        <f>IF(OR($A34="",$E34=""),"",IFERROR(INDEX(Inspections!$B$2:$B$2000,MATCH($E34,Inspections!$A$2:$A$2000,0)),""))</f>
        <v/>
      </c>
      <c r="D34" s="7">
        <f>IF(OR($A34="",$E34=""),"",IFERROR(INDEX(Inspections!$H$2:$H$2000,MATCH($E34,Inspections!$A$2:$A$2000,0)),""))</f>
        <v/>
      </c>
      <c r="E34" s="7">
        <f>IF($A34="","",IFERROR(INDEX(Inspections!$A$2:$A$2000,SUMPRODUCT(MAX((Inspections!$E$2:$E$2000=$A34)*(IFERROR(VALUE(LEFT(Inspections!$A$2:$A$2000,8)&amp;MID(Inspections!$A$2:$A$2000,10,4)),0)=SUMPRODUCT(MAX((Inspections!$E$2:$E$2000=$A34)*IFERROR(VALUE(LEFT(Inspections!$A$2:$A$2000,8)&amp;MID(Inspections!$A$2:$A$2000,10,4)),0))))*ROW(Inspections!$A$2:$A$2000)))-1),""))</f>
        <v/>
      </c>
      <c r="F34" s="8">
        <f>IF(OR($A34="",$E34=""),"",COUNTIFS(Inspections!$A$2:$A$2000,$E34,Inspections!$R$2:$R$2000,"&lt;&gt;"))</f>
        <v/>
      </c>
      <c r="G34" s="8">
        <f>IF(OR($A34="",$E34=""),"",COUNTIFS(Inspections!$A$2:$A$2000,$E34,Inspections!$U$2:$U$2000,"REPLACE"))</f>
        <v/>
      </c>
      <c r="H34" s="8">
        <f>IF(OR($A34="",$E34=""),"",COUNTIFS(Inspections!$A$2:$A$2000,$E34,Inspections!$U$2:$U$2000,"WATCH"))</f>
        <v/>
      </c>
      <c r="I34" s="8">
        <f>IF(OR($A34="",$E34=""),"",COUNTIFS(Inspections!$A$2:$A$2000,$E34,Inspections!$U$2:$U$2000,"OK"))</f>
        <v/>
      </c>
      <c r="J34" s="9">
        <f>IF(OR($A34="",$E34=""),"",IF($F34=0,"",99-SUMPRODUCT(MAX((Inspections!$A$2:$A$2000=$E34)*(Inspections!$R$2:$R$2000&lt;&gt;"")*(99-Inspections!$R$2:$R$2000)))))</f>
        <v/>
      </c>
      <c r="K34" s="8">
        <f>IF(OR($A34="",$J34=""),"",IFERROR(INDEX(Inspections!$J$2:$J$2000,SUMPRODUCT(MAX((Inspections!$A$2:$A$2000=$E34)*(Inspections!$R$2:$R$2000=$J34)*ROW(Inspections!$J$2:$J$2000)))-1),""))</f>
        <v/>
      </c>
      <c r="L34" s="8">
        <f>IF(OR($A34="",$E34=""),"",IF($G34&gt;0,"Replace "&amp;$G34&amp;" tire(s) now — unit is out of service",IF($H34&gt;0,"Book "&amp;$H34&amp;" tire(s) soon","OK")))</f>
        <v/>
      </c>
    </row>
    <row r="35">
      <c r="A35" s="6" t="n"/>
      <c r="B35" s="7">
        <f>IF(OR($A35="",$E35=""),"",IFERROR(INDEX(Inspections!$D$2:$D$2000,MATCH($E35,Inspections!$A$2:$A$2000,0)),""))</f>
        <v/>
      </c>
      <c r="C35" s="7">
        <f>IF(OR($A35="",$E35=""),"",IFERROR(INDEX(Inspections!$B$2:$B$2000,MATCH($E35,Inspections!$A$2:$A$2000,0)),""))</f>
        <v/>
      </c>
      <c r="D35" s="7">
        <f>IF(OR($A35="",$E35=""),"",IFERROR(INDEX(Inspections!$H$2:$H$2000,MATCH($E35,Inspections!$A$2:$A$2000,0)),""))</f>
        <v/>
      </c>
      <c r="E35" s="7">
        <f>IF($A35="","",IFERROR(INDEX(Inspections!$A$2:$A$2000,SUMPRODUCT(MAX((Inspections!$E$2:$E$2000=$A35)*(IFERROR(VALUE(LEFT(Inspections!$A$2:$A$2000,8)&amp;MID(Inspections!$A$2:$A$2000,10,4)),0)=SUMPRODUCT(MAX((Inspections!$E$2:$E$2000=$A35)*IFERROR(VALUE(LEFT(Inspections!$A$2:$A$2000,8)&amp;MID(Inspections!$A$2:$A$2000,10,4)),0))))*ROW(Inspections!$A$2:$A$2000)))-1),""))</f>
        <v/>
      </c>
      <c r="F35" s="8">
        <f>IF(OR($A35="",$E35=""),"",COUNTIFS(Inspections!$A$2:$A$2000,$E35,Inspections!$R$2:$R$2000,"&lt;&gt;"))</f>
        <v/>
      </c>
      <c r="G35" s="8">
        <f>IF(OR($A35="",$E35=""),"",COUNTIFS(Inspections!$A$2:$A$2000,$E35,Inspections!$U$2:$U$2000,"REPLACE"))</f>
        <v/>
      </c>
      <c r="H35" s="8">
        <f>IF(OR($A35="",$E35=""),"",COUNTIFS(Inspections!$A$2:$A$2000,$E35,Inspections!$U$2:$U$2000,"WATCH"))</f>
        <v/>
      </c>
      <c r="I35" s="8">
        <f>IF(OR($A35="",$E35=""),"",COUNTIFS(Inspections!$A$2:$A$2000,$E35,Inspections!$U$2:$U$2000,"OK"))</f>
        <v/>
      </c>
      <c r="J35" s="9">
        <f>IF(OR($A35="",$E35=""),"",IF($F35=0,"",99-SUMPRODUCT(MAX((Inspections!$A$2:$A$2000=$E35)*(Inspections!$R$2:$R$2000&lt;&gt;"")*(99-Inspections!$R$2:$R$2000)))))</f>
        <v/>
      </c>
      <c r="K35" s="8">
        <f>IF(OR($A35="",$J35=""),"",IFERROR(INDEX(Inspections!$J$2:$J$2000,SUMPRODUCT(MAX((Inspections!$A$2:$A$2000=$E35)*(Inspections!$R$2:$R$2000=$J35)*ROW(Inspections!$J$2:$J$2000)))-1),""))</f>
        <v/>
      </c>
      <c r="L35" s="8">
        <f>IF(OR($A35="",$E35=""),"",IF($G35&gt;0,"Replace "&amp;$G35&amp;" tire(s) now — unit is out of service",IF($H35&gt;0,"Book "&amp;$H35&amp;" tire(s) soon","OK")))</f>
        <v/>
      </c>
    </row>
    <row r="36">
      <c r="A36" s="6" t="n"/>
      <c r="B36" s="7">
        <f>IF(OR($A36="",$E36=""),"",IFERROR(INDEX(Inspections!$D$2:$D$2000,MATCH($E36,Inspections!$A$2:$A$2000,0)),""))</f>
        <v/>
      </c>
      <c r="C36" s="7">
        <f>IF(OR($A36="",$E36=""),"",IFERROR(INDEX(Inspections!$B$2:$B$2000,MATCH($E36,Inspections!$A$2:$A$2000,0)),""))</f>
        <v/>
      </c>
      <c r="D36" s="7">
        <f>IF(OR($A36="",$E36=""),"",IFERROR(INDEX(Inspections!$H$2:$H$2000,MATCH($E36,Inspections!$A$2:$A$2000,0)),""))</f>
        <v/>
      </c>
      <c r="E36" s="7">
        <f>IF($A36="","",IFERROR(INDEX(Inspections!$A$2:$A$2000,SUMPRODUCT(MAX((Inspections!$E$2:$E$2000=$A36)*(IFERROR(VALUE(LEFT(Inspections!$A$2:$A$2000,8)&amp;MID(Inspections!$A$2:$A$2000,10,4)),0)=SUMPRODUCT(MAX((Inspections!$E$2:$E$2000=$A36)*IFERROR(VALUE(LEFT(Inspections!$A$2:$A$2000,8)&amp;MID(Inspections!$A$2:$A$2000,10,4)),0))))*ROW(Inspections!$A$2:$A$2000)))-1),""))</f>
        <v/>
      </c>
      <c r="F36" s="8">
        <f>IF(OR($A36="",$E36=""),"",COUNTIFS(Inspections!$A$2:$A$2000,$E36,Inspections!$R$2:$R$2000,"&lt;&gt;"))</f>
        <v/>
      </c>
      <c r="G36" s="8">
        <f>IF(OR($A36="",$E36=""),"",COUNTIFS(Inspections!$A$2:$A$2000,$E36,Inspections!$U$2:$U$2000,"REPLACE"))</f>
        <v/>
      </c>
      <c r="H36" s="8">
        <f>IF(OR($A36="",$E36=""),"",COUNTIFS(Inspections!$A$2:$A$2000,$E36,Inspections!$U$2:$U$2000,"WATCH"))</f>
        <v/>
      </c>
      <c r="I36" s="8">
        <f>IF(OR($A36="",$E36=""),"",COUNTIFS(Inspections!$A$2:$A$2000,$E36,Inspections!$U$2:$U$2000,"OK"))</f>
        <v/>
      </c>
      <c r="J36" s="9">
        <f>IF(OR($A36="",$E36=""),"",IF($F36=0,"",99-SUMPRODUCT(MAX((Inspections!$A$2:$A$2000=$E36)*(Inspections!$R$2:$R$2000&lt;&gt;"")*(99-Inspections!$R$2:$R$2000)))))</f>
        <v/>
      </c>
      <c r="K36" s="8">
        <f>IF(OR($A36="",$J36=""),"",IFERROR(INDEX(Inspections!$J$2:$J$2000,SUMPRODUCT(MAX((Inspections!$A$2:$A$2000=$E36)*(Inspections!$R$2:$R$2000=$J36)*ROW(Inspections!$J$2:$J$2000)))-1),""))</f>
        <v/>
      </c>
      <c r="L36" s="8">
        <f>IF(OR($A36="",$E36=""),"",IF($G36&gt;0,"Replace "&amp;$G36&amp;" tire(s) now — unit is out of service",IF($H36&gt;0,"Book "&amp;$H36&amp;" tire(s) soon","OK")))</f>
        <v/>
      </c>
    </row>
    <row r="37">
      <c r="A37" s="6" t="n"/>
      <c r="B37" s="7">
        <f>IF(OR($A37="",$E37=""),"",IFERROR(INDEX(Inspections!$D$2:$D$2000,MATCH($E37,Inspections!$A$2:$A$2000,0)),""))</f>
        <v/>
      </c>
      <c r="C37" s="7">
        <f>IF(OR($A37="",$E37=""),"",IFERROR(INDEX(Inspections!$B$2:$B$2000,MATCH($E37,Inspections!$A$2:$A$2000,0)),""))</f>
        <v/>
      </c>
      <c r="D37" s="7">
        <f>IF(OR($A37="",$E37=""),"",IFERROR(INDEX(Inspections!$H$2:$H$2000,MATCH($E37,Inspections!$A$2:$A$2000,0)),""))</f>
        <v/>
      </c>
      <c r="E37" s="7">
        <f>IF($A37="","",IFERROR(INDEX(Inspections!$A$2:$A$2000,SUMPRODUCT(MAX((Inspections!$E$2:$E$2000=$A37)*(IFERROR(VALUE(LEFT(Inspections!$A$2:$A$2000,8)&amp;MID(Inspections!$A$2:$A$2000,10,4)),0)=SUMPRODUCT(MAX((Inspections!$E$2:$E$2000=$A37)*IFERROR(VALUE(LEFT(Inspections!$A$2:$A$2000,8)&amp;MID(Inspections!$A$2:$A$2000,10,4)),0))))*ROW(Inspections!$A$2:$A$2000)))-1),""))</f>
        <v/>
      </c>
      <c r="F37" s="8">
        <f>IF(OR($A37="",$E37=""),"",COUNTIFS(Inspections!$A$2:$A$2000,$E37,Inspections!$R$2:$R$2000,"&lt;&gt;"))</f>
        <v/>
      </c>
      <c r="G37" s="8">
        <f>IF(OR($A37="",$E37=""),"",COUNTIFS(Inspections!$A$2:$A$2000,$E37,Inspections!$U$2:$U$2000,"REPLACE"))</f>
        <v/>
      </c>
      <c r="H37" s="8">
        <f>IF(OR($A37="",$E37=""),"",COUNTIFS(Inspections!$A$2:$A$2000,$E37,Inspections!$U$2:$U$2000,"WATCH"))</f>
        <v/>
      </c>
      <c r="I37" s="8">
        <f>IF(OR($A37="",$E37=""),"",COUNTIFS(Inspections!$A$2:$A$2000,$E37,Inspections!$U$2:$U$2000,"OK"))</f>
        <v/>
      </c>
      <c r="J37" s="9">
        <f>IF(OR($A37="",$E37=""),"",IF($F37=0,"",99-SUMPRODUCT(MAX((Inspections!$A$2:$A$2000=$E37)*(Inspections!$R$2:$R$2000&lt;&gt;"")*(99-Inspections!$R$2:$R$2000)))))</f>
        <v/>
      </c>
      <c r="K37" s="8">
        <f>IF(OR($A37="",$J37=""),"",IFERROR(INDEX(Inspections!$J$2:$J$2000,SUMPRODUCT(MAX((Inspections!$A$2:$A$2000=$E37)*(Inspections!$R$2:$R$2000=$J37)*ROW(Inspections!$J$2:$J$2000)))-1),""))</f>
        <v/>
      </c>
      <c r="L37" s="8">
        <f>IF(OR($A37="",$E37=""),"",IF($G37&gt;0,"Replace "&amp;$G37&amp;" tire(s) now — unit is out of service",IF($H37&gt;0,"Book "&amp;$H37&amp;" tire(s) soon","OK")))</f>
        <v/>
      </c>
    </row>
    <row r="38">
      <c r="A38" s="6" t="n"/>
      <c r="B38" s="7">
        <f>IF(OR($A38="",$E38=""),"",IFERROR(INDEX(Inspections!$D$2:$D$2000,MATCH($E38,Inspections!$A$2:$A$2000,0)),""))</f>
        <v/>
      </c>
      <c r="C38" s="7">
        <f>IF(OR($A38="",$E38=""),"",IFERROR(INDEX(Inspections!$B$2:$B$2000,MATCH($E38,Inspections!$A$2:$A$2000,0)),""))</f>
        <v/>
      </c>
      <c r="D38" s="7">
        <f>IF(OR($A38="",$E38=""),"",IFERROR(INDEX(Inspections!$H$2:$H$2000,MATCH($E38,Inspections!$A$2:$A$2000,0)),""))</f>
        <v/>
      </c>
      <c r="E38" s="7">
        <f>IF($A38="","",IFERROR(INDEX(Inspections!$A$2:$A$2000,SUMPRODUCT(MAX((Inspections!$E$2:$E$2000=$A38)*(IFERROR(VALUE(LEFT(Inspections!$A$2:$A$2000,8)&amp;MID(Inspections!$A$2:$A$2000,10,4)),0)=SUMPRODUCT(MAX((Inspections!$E$2:$E$2000=$A38)*IFERROR(VALUE(LEFT(Inspections!$A$2:$A$2000,8)&amp;MID(Inspections!$A$2:$A$2000,10,4)),0))))*ROW(Inspections!$A$2:$A$2000)))-1),""))</f>
        <v/>
      </c>
      <c r="F38" s="8">
        <f>IF(OR($A38="",$E38=""),"",COUNTIFS(Inspections!$A$2:$A$2000,$E38,Inspections!$R$2:$R$2000,"&lt;&gt;"))</f>
        <v/>
      </c>
      <c r="G38" s="8">
        <f>IF(OR($A38="",$E38=""),"",COUNTIFS(Inspections!$A$2:$A$2000,$E38,Inspections!$U$2:$U$2000,"REPLACE"))</f>
        <v/>
      </c>
      <c r="H38" s="8">
        <f>IF(OR($A38="",$E38=""),"",COUNTIFS(Inspections!$A$2:$A$2000,$E38,Inspections!$U$2:$U$2000,"WATCH"))</f>
        <v/>
      </c>
      <c r="I38" s="8">
        <f>IF(OR($A38="",$E38=""),"",COUNTIFS(Inspections!$A$2:$A$2000,$E38,Inspections!$U$2:$U$2000,"OK"))</f>
        <v/>
      </c>
      <c r="J38" s="9">
        <f>IF(OR($A38="",$E38=""),"",IF($F38=0,"",99-SUMPRODUCT(MAX((Inspections!$A$2:$A$2000=$E38)*(Inspections!$R$2:$R$2000&lt;&gt;"")*(99-Inspections!$R$2:$R$2000)))))</f>
        <v/>
      </c>
      <c r="K38" s="8">
        <f>IF(OR($A38="",$J38=""),"",IFERROR(INDEX(Inspections!$J$2:$J$2000,SUMPRODUCT(MAX((Inspections!$A$2:$A$2000=$E38)*(Inspections!$R$2:$R$2000=$J38)*ROW(Inspections!$J$2:$J$2000)))-1),""))</f>
        <v/>
      </c>
      <c r="L38" s="8">
        <f>IF(OR($A38="",$E38=""),"",IF($G38&gt;0,"Replace "&amp;$G38&amp;" tire(s) now — unit is out of service",IF($H38&gt;0,"Book "&amp;$H38&amp;" tire(s) soon","OK")))</f>
        <v/>
      </c>
    </row>
    <row r="39">
      <c r="A39" s="6" t="n"/>
      <c r="B39" s="7">
        <f>IF(OR($A39="",$E39=""),"",IFERROR(INDEX(Inspections!$D$2:$D$2000,MATCH($E39,Inspections!$A$2:$A$2000,0)),""))</f>
        <v/>
      </c>
      <c r="C39" s="7">
        <f>IF(OR($A39="",$E39=""),"",IFERROR(INDEX(Inspections!$B$2:$B$2000,MATCH($E39,Inspections!$A$2:$A$2000,0)),""))</f>
        <v/>
      </c>
      <c r="D39" s="7">
        <f>IF(OR($A39="",$E39=""),"",IFERROR(INDEX(Inspections!$H$2:$H$2000,MATCH($E39,Inspections!$A$2:$A$2000,0)),""))</f>
        <v/>
      </c>
      <c r="E39" s="7">
        <f>IF($A39="","",IFERROR(INDEX(Inspections!$A$2:$A$2000,SUMPRODUCT(MAX((Inspections!$E$2:$E$2000=$A39)*(IFERROR(VALUE(LEFT(Inspections!$A$2:$A$2000,8)&amp;MID(Inspections!$A$2:$A$2000,10,4)),0)=SUMPRODUCT(MAX((Inspections!$E$2:$E$2000=$A39)*IFERROR(VALUE(LEFT(Inspections!$A$2:$A$2000,8)&amp;MID(Inspections!$A$2:$A$2000,10,4)),0))))*ROW(Inspections!$A$2:$A$2000)))-1),""))</f>
        <v/>
      </c>
      <c r="F39" s="8">
        <f>IF(OR($A39="",$E39=""),"",COUNTIFS(Inspections!$A$2:$A$2000,$E39,Inspections!$R$2:$R$2000,"&lt;&gt;"))</f>
        <v/>
      </c>
      <c r="G39" s="8">
        <f>IF(OR($A39="",$E39=""),"",COUNTIFS(Inspections!$A$2:$A$2000,$E39,Inspections!$U$2:$U$2000,"REPLACE"))</f>
        <v/>
      </c>
      <c r="H39" s="8">
        <f>IF(OR($A39="",$E39=""),"",COUNTIFS(Inspections!$A$2:$A$2000,$E39,Inspections!$U$2:$U$2000,"WATCH"))</f>
        <v/>
      </c>
      <c r="I39" s="8">
        <f>IF(OR($A39="",$E39=""),"",COUNTIFS(Inspections!$A$2:$A$2000,$E39,Inspections!$U$2:$U$2000,"OK"))</f>
        <v/>
      </c>
      <c r="J39" s="9">
        <f>IF(OR($A39="",$E39=""),"",IF($F39=0,"",99-SUMPRODUCT(MAX((Inspections!$A$2:$A$2000=$E39)*(Inspections!$R$2:$R$2000&lt;&gt;"")*(99-Inspections!$R$2:$R$2000)))))</f>
        <v/>
      </c>
      <c r="K39" s="8">
        <f>IF(OR($A39="",$J39=""),"",IFERROR(INDEX(Inspections!$J$2:$J$2000,SUMPRODUCT(MAX((Inspections!$A$2:$A$2000=$E39)*(Inspections!$R$2:$R$2000=$J39)*ROW(Inspections!$J$2:$J$2000)))-1),""))</f>
        <v/>
      </c>
      <c r="L39" s="8">
        <f>IF(OR($A39="",$E39=""),"",IF($G39&gt;0,"Replace "&amp;$G39&amp;" tire(s) now — unit is out of service",IF($H39&gt;0,"Book "&amp;$H39&amp;" tire(s) soon","OK")))</f>
        <v/>
      </c>
    </row>
    <row r="40">
      <c r="A40" s="6" t="n"/>
      <c r="B40" s="7">
        <f>IF(OR($A40="",$E40=""),"",IFERROR(INDEX(Inspections!$D$2:$D$2000,MATCH($E40,Inspections!$A$2:$A$2000,0)),""))</f>
        <v/>
      </c>
      <c r="C40" s="7">
        <f>IF(OR($A40="",$E40=""),"",IFERROR(INDEX(Inspections!$B$2:$B$2000,MATCH($E40,Inspections!$A$2:$A$2000,0)),""))</f>
        <v/>
      </c>
      <c r="D40" s="7">
        <f>IF(OR($A40="",$E40=""),"",IFERROR(INDEX(Inspections!$H$2:$H$2000,MATCH($E40,Inspections!$A$2:$A$2000,0)),""))</f>
        <v/>
      </c>
      <c r="E40" s="7">
        <f>IF($A40="","",IFERROR(INDEX(Inspections!$A$2:$A$2000,SUMPRODUCT(MAX((Inspections!$E$2:$E$2000=$A40)*(IFERROR(VALUE(LEFT(Inspections!$A$2:$A$2000,8)&amp;MID(Inspections!$A$2:$A$2000,10,4)),0)=SUMPRODUCT(MAX((Inspections!$E$2:$E$2000=$A40)*IFERROR(VALUE(LEFT(Inspections!$A$2:$A$2000,8)&amp;MID(Inspections!$A$2:$A$2000,10,4)),0))))*ROW(Inspections!$A$2:$A$2000)))-1),""))</f>
        <v/>
      </c>
      <c r="F40" s="8">
        <f>IF(OR($A40="",$E40=""),"",COUNTIFS(Inspections!$A$2:$A$2000,$E40,Inspections!$R$2:$R$2000,"&lt;&gt;"))</f>
        <v/>
      </c>
      <c r="G40" s="8">
        <f>IF(OR($A40="",$E40=""),"",COUNTIFS(Inspections!$A$2:$A$2000,$E40,Inspections!$U$2:$U$2000,"REPLACE"))</f>
        <v/>
      </c>
      <c r="H40" s="8">
        <f>IF(OR($A40="",$E40=""),"",COUNTIFS(Inspections!$A$2:$A$2000,$E40,Inspections!$U$2:$U$2000,"WATCH"))</f>
        <v/>
      </c>
      <c r="I40" s="8">
        <f>IF(OR($A40="",$E40=""),"",COUNTIFS(Inspections!$A$2:$A$2000,$E40,Inspections!$U$2:$U$2000,"OK"))</f>
        <v/>
      </c>
      <c r="J40" s="9">
        <f>IF(OR($A40="",$E40=""),"",IF($F40=0,"",99-SUMPRODUCT(MAX((Inspections!$A$2:$A$2000=$E40)*(Inspections!$R$2:$R$2000&lt;&gt;"")*(99-Inspections!$R$2:$R$2000)))))</f>
        <v/>
      </c>
      <c r="K40" s="8">
        <f>IF(OR($A40="",$J40=""),"",IFERROR(INDEX(Inspections!$J$2:$J$2000,SUMPRODUCT(MAX((Inspections!$A$2:$A$2000=$E40)*(Inspections!$R$2:$R$2000=$J40)*ROW(Inspections!$J$2:$J$2000)))-1),""))</f>
        <v/>
      </c>
      <c r="L40" s="8">
        <f>IF(OR($A40="",$E40=""),"",IF($G40&gt;0,"Replace "&amp;$G40&amp;" tire(s) now — unit is out of service",IF($H40&gt;0,"Book "&amp;$H40&amp;" tire(s) soon","OK")))</f>
        <v/>
      </c>
    </row>
    <row r="41">
      <c r="A41" s="6" t="n"/>
      <c r="B41" s="7">
        <f>IF(OR($A41="",$E41=""),"",IFERROR(INDEX(Inspections!$D$2:$D$2000,MATCH($E41,Inspections!$A$2:$A$2000,0)),""))</f>
        <v/>
      </c>
      <c r="C41" s="7">
        <f>IF(OR($A41="",$E41=""),"",IFERROR(INDEX(Inspections!$B$2:$B$2000,MATCH($E41,Inspections!$A$2:$A$2000,0)),""))</f>
        <v/>
      </c>
      <c r="D41" s="7">
        <f>IF(OR($A41="",$E41=""),"",IFERROR(INDEX(Inspections!$H$2:$H$2000,MATCH($E41,Inspections!$A$2:$A$2000,0)),""))</f>
        <v/>
      </c>
      <c r="E41" s="7">
        <f>IF($A41="","",IFERROR(INDEX(Inspections!$A$2:$A$2000,SUMPRODUCT(MAX((Inspections!$E$2:$E$2000=$A41)*(IFERROR(VALUE(LEFT(Inspections!$A$2:$A$2000,8)&amp;MID(Inspections!$A$2:$A$2000,10,4)),0)=SUMPRODUCT(MAX((Inspections!$E$2:$E$2000=$A41)*IFERROR(VALUE(LEFT(Inspections!$A$2:$A$2000,8)&amp;MID(Inspections!$A$2:$A$2000,10,4)),0))))*ROW(Inspections!$A$2:$A$2000)))-1),""))</f>
        <v/>
      </c>
      <c r="F41" s="8">
        <f>IF(OR($A41="",$E41=""),"",COUNTIFS(Inspections!$A$2:$A$2000,$E41,Inspections!$R$2:$R$2000,"&lt;&gt;"))</f>
        <v/>
      </c>
      <c r="G41" s="8">
        <f>IF(OR($A41="",$E41=""),"",COUNTIFS(Inspections!$A$2:$A$2000,$E41,Inspections!$U$2:$U$2000,"REPLACE"))</f>
        <v/>
      </c>
      <c r="H41" s="8">
        <f>IF(OR($A41="",$E41=""),"",COUNTIFS(Inspections!$A$2:$A$2000,$E41,Inspections!$U$2:$U$2000,"WATCH"))</f>
        <v/>
      </c>
      <c r="I41" s="8">
        <f>IF(OR($A41="",$E41=""),"",COUNTIFS(Inspections!$A$2:$A$2000,$E41,Inspections!$U$2:$U$2000,"OK"))</f>
        <v/>
      </c>
      <c r="J41" s="9">
        <f>IF(OR($A41="",$E41=""),"",IF($F41=0,"",99-SUMPRODUCT(MAX((Inspections!$A$2:$A$2000=$E41)*(Inspections!$R$2:$R$2000&lt;&gt;"")*(99-Inspections!$R$2:$R$2000)))))</f>
        <v/>
      </c>
      <c r="K41" s="8">
        <f>IF(OR($A41="",$J41=""),"",IFERROR(INDEX(Inspections!$J$2:$J$2000,SUMPRODUCT(MAX((Inspections!$A$2:$A$2000=$E41)*(Inspections!$R$2:$R$2000=$J41)*ROW(Inspections!$J$2:$J$2000)))-1),""))</f>
        <v/>
      </c>
      <c r="L41" s="8">
        <f>IF(OR($A41="",$E41=""),"",IF($G41&gt;0,"Replace "&amp;$G41&amp;" tire(s) now — unit is out of service",IF($H41&gt;0,"Book "&amp;$H41&amp;" tire(s) soon","OK")))</f>
        <v/>
      </c>
    </row>
    <row r="42">
      <c r="A42" s="6" t="n"/>
      <c r="B42" s="7">
        <f>IF(OR($A42="",$E42=""),"",IFERROR(INDEX(Inspections!$D$2:$D$2000,MATCH($E42,Inspections!$A$2:$A$2000,0)),""))</f>
        <v/>
      </c>
      <c r="C42" s="7">
        <f>IF(OR($A42="",$E42=""),"",IFERROR(INDEX(Inspections!$B$2:$B$2000,MATCH($E42,Inspections!$A$2:$A$2000,0)),""))</f>
        <v/>
      </c>
      <c r="D42" s="7">
        <f>IF(OR($A42="",$E42=""),"",IFERROR(INDEX(Inspections!$H$2:$H$2000,MATCH($E42,Inspections!$A$2:$A$2000,0)),""))</f>
        <v/>
      </c>
      <c r="E42" s="7">
        <f>IF($A42="","",IFERROR(INDEX(Inspections!$A$2:$A$2000,SUMPRODUCT(MAX((Inspections!$E$2:$E$2000=$A42)*(IFERROR(VALUE(LEFT(Inspections!$A$2:$A$2000,8)&amp;MID(Inspections!$A$2:$A$2000,10,4)),0)=SUMPRODUCT(MAX((Inspections!$E$2:$E$2000=$A42)*IFERROR(VALUE(LEFT(Inspections!$A$2:$A$2000,8)&amp;MID(Inspections!$A$2:$A$2000,10,4)),0))))*ROW(Inspections!$A$2:$A$2000)))-1),""))</f>
        <v/>
      </c>
      <c r="F42" s="8">
        <f>IF(OR($A42="",$E42=""),"",COUNTIFS(Inspections!$A$2:$A$2000,$E42,Inspections!$R$2:$R$2000,"&lt;&gt;"))</f>
        <v/>
      </c>
      <c r="G42" s="8">
        <f>IF(OR($A42="",$E42=""),"",COUNTIFS(Inspections!$A$2:$A$2000,$E42,Inspections!$U$2:$U$2000,"REPLACE"))</f>
        <v/>
      </c>
      <c r="H42" s="8">
        <f>IF(OR($A42="",$E42=""),"",COUNTIFS(Inspections!$A$2:$A$2000,$E42,Inspections!$U$2:$U$2000,"WATCH"))</f>
        <v/>
      </c>
      <c r="I42" s="8">
        <f>IF(OR($A42="",$E42=""),"",COUNTIFS(Inspections!$A$2:$A$2000,$E42,Inspections!$U$2:$U$2000,"OK"))</f>
        <v/>
      </c>
      <c r="J42" s="9">
        <f>IF(OR($A42="",$E42=""),"",IF($F42=0,"",99-SUMPRODUCT(MAX((Inspections!$A$2:$A$2000=$E42)*(Inspections!$R$2:$R$2000&lt;&gt;"")*(99-Inspections!$R$2:$R$2000)))))</f>
        <v/>
      </c>
      <c r="K42" s="8">
        <f>IF(OR($A42="",$J42=""),"",IFERROR(INDEX(Inspections!$J$2:$J$2000,SUMPRODUCT(MAX((Inspections!$A$2:$A$2000=$E42)*(Inspections!$R$2:$R$2000=$J42)*ROW(Inspections!$J$2:$J$2000)))-1),""))</f>
        <v/>
      </c>
      <c r="L42" s="8">
        <f>IF(OR($A42="",$E42=""),"",IF($G42&gt;0,"Replace "&amp;$G42&amp;" tire(s) now — unit is out of service",IF($H42&gt;0,"Book "&amp;$H42&amp;" tire(s) soon","OK")))</f>
        <v/>
      </c>
    </row>
    <row r="43">
      <c r="A43" s="6" t="n"/>
      <c r="B43" s="7">
        <f>IF(OR($A43="",$E43=""),"",IFERROR(INDEX(Inspections!$D$2:$D$2000,MATCH($E43,Inspections!$A$2:$A$2000,0)),""))</f>
        <v/>
      </c>
      <c r="C43" s="7">
        <f>IF(OR($A43="",$E43=""),"",IFERROR(INDEX(Inspections!$B$2:$B$2000,MATCH($E43,Inspections!$A$2:$A$2000,0)),""))</f>
        <v/>
      </c>
      <c r="D43" s="7">
        <f>IF(OR($A43="",$E43=""),"",IFERROR(INDEX(Inspections!$H$2:$H$2000,MATCH($E43,Inspections!$A$2:$A$2000,0)),""))</f>
        <v/>
      </c>
      <c r="E43" s="7">
        <f>IF($A43="","",IFERROR(INDEX(Inspections!$A$2:$A$2000,SUMPRODUCT(MAX((Inspections!$E$2:$E$2000=$A43)*(IFERROR(VALUE(LEFT(Inspections!$A$2:$A$2000,8)&amp;MID(Inspections!$A$2:$A$2000,10,4)),0)=SUMPRODUCT(MAX((Inspections!$E$2:$E$2000=$A43)*IFERROR(VALUE(LEFT(Inspections!$A$2:$A$2000,8)&amp;MID(Inspections!$A$2:$A$2000,10,4)),0))))*ROW(Inspections!$A$2:$A$2000)))-1),""))</f>
        <v/>
      </c>
      <c r="F43" s="8">
        <f>IF(OR($A43="",$E43=""),"",COUNTIFS(Inspections!$A$2:$A$2000,$E43,Inspections!$R$2:$R$2000,"&lt;&gt;"))</f>
        <v/>
      </c>
      <c r="G43" s="8">
        <f>IF(OR($A43="",$E43=""),"",COUNTIFS(Inspections!$A$2:$A$2000,$E43,Inspections!$U$2:$U$2000,"REPLACE"))</f>
        <v/>
      </c>
      <c r="H43" s="8">
        <f>IF(OR($A43="",$E43=""),"",COUNTIFS(Inspections!$A$2:$A$2000,$E43,Inspections!$U$2:$U$2000,"WATCH"))</f>
        <v/>
      </c>
      <c r="I43" s="8">
        <f>IF(OR($A43="",$E43=""),"",COUNTIFS(Inspections!$A$2:$A$2000,$E43,Inspections!$U$2:$U$2000,"OK"))</f>
        <v/>
      </c>
      <c r="J43" s="9">
        <f>IF(OR($A43="",$E43=""),"",IF($F43=0,"",99-SUMPRODUCT(MAX((Inspections!$A$2:$A$2000=$E43)*(Inspections!$R$2:$R$2000&lt;&gt;"")*(99-Inspections!$R$2:$R$2000)))))</f>
        <v/>
      </c>
      <c r="K43" s="8">
        <f>IF(OR($A43="",$J43=""),"",IFERROR(INDEX(Inspections!$J$2:$J$2000,SUMPRODUCT(MAX((Inspections!$A$2:$A$2000=$E43)*(Inspections!$R$2:$R$2000=$J43)*ROW(Inspections!$J$2:$J$2000)))-1),""))</f>
        <v/>
      </c>
      <c r="L43" s="8">
        <f>IF(OR($A43="",$E43=""),"",IF($G43&gt;0,"Replace "&amp;$G43&amp;" tire(s) now — unit is out of service",IF($H43&gt;0,"Book "&amp;$H43&amp;" tire(s) soon","OK")))</f>
        <v/>
      </c>
    </row>
    <row r="44">
      <c r="A44" s="6" t="n"/>
      <c r="B44" s="7">
        <f>IF(OR($A44="",$E44=""),"",IFERROR(INDEX(Inspections!$D$2:$D$2000,MATCH($E44,Inspections!$A$2:$A$2000,0)),""))</f>
        <v/>
      </c>
      <c r="C44" s="7">
        <f>IF(OR($A44="",$E44=""),"",IFERROR(INDEX(Inspections!$B$2:$B$2000,MATCH($E44,Inspections!$A$2:$A$2000,0)),""))</f>
        <v/>
      </c>
      <c r="D44" s="7">
        <f>IF(OR($A44="",$E44=""),"",IFERROR(INDEX(Inspections!$H$2:$H$2000,MATCH($E44,Inspections!$A$2:$A$2000,0)),""))</f>
        <v/>
      </c>
      <c r="E44" s="7">
        <f>IF($A44="","",IFERROR(INDEX(Inspections!$A$2:$A$2000,SUMPRODUCT(MAX((Inspections!$E$2:$E$2000=$A44)*(IFERROR(VALUE(LEFT(Inspections!$A$2:$A$2000,8)&amp;MID(Inspections!$A$2:$A$2000,10,4)),0)=SUMPRODUCT(MAX((Inspections!$E$2:$E$2000=$A44)*IFERROR(VALUE(LEFT(Inspections!$A$2:$A$2000,8)&amp;MID(Inspections!$A$2:$A$2000,10,4)),0))))*ROW(Inspections!$A$2:$A$2000)))-1),""))</f>
        <v/>
      </c>
      <c r="F44" s="8">
        <f>IF(OR($A44="",$E44=""),"",COUNTIFS(Inspections!$A$2:$A$2000,$E44,Inspections!$R$2:$R$2000,"&lt;&gt;"))</f>
        <v/>
      </c>
      <c r="G44" s="8">
        <f>IF(OR($A44="",$E44=""),"",COUNTIFS(Inspections!$A$2:$A$2000,$E44,Inspections!$U$2:$U$2000,"REPLACE"))</f>
        <v/>
      </c>
      <c r="H44" s="8">
        <f>IF(OR($A44="",$E44=""),"",COUNTIFS(Inspections!$A$2:$A$2000,$E44,Inspections!$U$2:$U$2000,"WATCH"))</f>
        <v/>
      </c>
      <c r="I44" s="8">
        <f>IF(OR($A44="",$E44=""),"",COUNTIFS(Inspections!$A$2:$A$2000,$E44,Inspections!$U$2:$U$2000,"OK"))</f>
        <v/>
      </c>
      <c r="J44" s="9">
        <f>IF(OR($A44="",$E44=""),"",IF($F44=0,"",99-SUMPRODUCT(MAX((Inspections!$A$2:$A$2000=$E44)*(Inspections!$R$2:$R$2000&lt;&gt;"")*(99-Inspections!$R$2:$R$2000)))))</f>
        <v/>
      </c>
      <c r="K44" s="8">
        <f>IF(OR($A44="",$J44=""),"",IFERROR(INDEX(Inspections!$J$2:$J$2000,SUMPRODUCT(MAX((Inspections!$A$2:$A$2000=$E44)*(Inspections!$R$2:$R$2000=$J44)*ROW(Inspections!$J$2:$J$2000)))-1),""))</f>
        <v/>
      </c>
      <c r="L44" s="8">
        <f>IF(OR($A44="",$E44=""),"",IF($G44&gt;0,"Replace "&amp;$G44&amp;" tire(s) now — unit is out of service",IF($H44&gt;0,"Book "&amp;$H44&amp;" tire(s) soon","OK")))</f>
        <v/>
      </c>
    </row>
    <row r="46">
      <c r="A46" s="4" t="inlineStr">
        <is>
          <t>Counts describe the latest inspection for each unit, identified by the highest inspection_id.</t>
        </is>
      </c>
    </row>
    <row r="47">
      <c r="A47" s="4" t="inlineStr">
        <is>
          <t>If a unit is inspected twice in the same minute, only the later reference is used.</t>
        </is>
      </c>
    </row>
    <row r="48">
      <c r="A48" s="4" t="inlineStr">
        <is>
          <t>Lowest tread is the smallest depth_min_32nds on that inspection, in 32nds of an inch.</t>
        </is>
      </c>
    </row>
  </sheetData>
  <conditionalFormatting sqref="G5:G44">
    <cfRule type="cellIs" priority="1" operator="greaterThan" dxfId="0">
      <formula>0</formula>
    </cfRule>
  </conditionalFormatting>
  <conditionalFormatting sqref="H5:H44">
    <cfRule type="cellIs" priority="2" operator="greaterThan" dxfId="3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Scotia Tread Scanner — inspection workbook</t>
        </is>
      </c>
    </row>
    <row r="2">
      <c r="A2" s="11" t="inlineStr"/>
    </row>
    <row r="3">
      <c r="A3" s="12" t="inlineStr">
        <is>
          <t>Getting this into Google Sheets</t>
        </is>
      </c>
    </row>
    <row r="4">
      <c r="A4" s="11" t="inlineStr">
        <is>
          <t>1. Upload this file to Google Drive, open it, then File &gt; Save as Google Sheets.</t>
        </is>
      </c>
    </row>
    <row r="5">
      <c r="A5" s="11" t="inlineStr">
        <is>
          <t>2. Delete the yellow EXAMPLE row on the Inspections tab once your first real data arrives.</t>
        </is>
      </c>
    </row>
    <row r="6">
      <c r="A6" s="11" t="inlineStr"/>
    </row>
    <row r="7">
      <c r="A7" s="12" t="inlineStr">
        <is>
          <t>Adding an inspection</t>
        </is>
      </c>
    </row>
    <row r="8">
      <c r="A8" s="11" t="inlineStr">
        <is>
          <t>1. In the app, finish the inspection and choose Share / download CSV.</t>
        </is>
      </c>
    </row>
    <row r="9">
      <c r="A9" s="11" t="inlineStr">
        <is>
          <t>2. In Google Sheets, click the Inspections tab, then File &gt; Import &gt; Upload.</t>
        </is>
      </c>
    </row>
    <row r="10">
      <c r="A10" s="11" t="inlineStr">
        <is>
          <t>3. Choose 'Append to current sheet' and 'Comma'. Leave 'Convert text to numbers' ticked.</t>
        </is>
      </c>
    </row>
    <row r="11">
      <c r="A11" s="11" t="inlineStr">
        <is>
          <t>The CSV columns are written in the same order as this tab, so append lines up every time.</t>
        </is>
      </c>
    </row>
    <row r="12">
      <c r="A12" s="11" t="inlineStr"/>
    </row>
    <row r="13">
      <c r="A13" s="12" t="inlineStr">
        <is>
          <t>Fleet Summary</t>
        </is>
      </c>
    </row>
    <row r="14">
      <c r="A14" s="11" t="inlineStr">
        <is>
          <t>Type a unit number into each yellow cell in column A. Every other cell on that tab is a formula.</t>
        </is>
      </c>
    </row>
    <row r="15">
      <c r="A15" s="11" t="inlineStr">
        <is>
          <t>The counts describe that unit's most recent inspection only, found by the highest inspection_id.</t>
        </is>
      </c>
    </row>
    <row r="16">
      <c r="A16" s="11" t="inlineStr"/>
    </row>
    <row r="17">
      <c r="A17" s="12" t="inlineStr">
        <is>
          <t>What the columns mean</t>
        </is>
      </c>
    </row>
    <row r="18">
      <c r="A18" s="11" t="inlineStr">
        <is>
          <t>depth_inner/centre/outer_32nds — the three groove readings in 32nds of an inch.</t>
        </is>
      </c>
    </row>
    <row r="19">
      <c r="A19" s="11" t="inlineStr">
        <is>
          <t>depth_min_32nds — the lowest of the three. This is what the status is based on.</t>
        </is>
      </c>
    </row>
    <row r="20">
      <c r="A20" s="11" t="inlineStr">
        <is>
          <t>status — OK, WATCH or REPLACE, decided by the app using the Thresholds tab values.</t>
        </is>
      </c>
    </row>
    <row r="21">
      <c r="A21" s="11" t="inlineStr">
        <is>
          <t>method — scan (LiDAR), gauge or manual. Keep this column: it is what makes a reading defensible.</t>
        </is>
      </c>
    </row>
    <row r="22">
      <c r="A22" s="11" t="inlineStr">
        <is>
          <t>position — TMC code. L or R for side, F/number/R for axle, O or I for outer or inner dual.</t>
        </is>
      </c>
    </row>
    <row r="23">
      <c r="A23" s="11" t="inlineStr">
        <is>
          <t xml:space="preserve">  Steer tires are LF and RF. Inner duals end in I and are always read with a gauge.</t>
        </is>
      </c>
    </row>
    <row r="24">
      <c r="A24" s="11" t="inlineStr"/>
    </row>
    <row r="25">
      <c r="A25" s="12" t="inlineStr">
        <is>
          <t>Sources</t>
        </is>
      </c>
    </row>
    <row r="26">
      <c r="A26" s="11" t="inlineStr">
        <is>
          <t>Tread minimums: Canada NSC Standard 11 and US FMCSA 49 CFR 393.75 — 4/32" steer, 2/32" all other positions.</t>
        </is>
      </c>
    </row>
    <row r="27">
      <c r="A27" s="11" t="inlineStr">
        <is>
          <t>Column layout: TREAD_SCANNER_PLAN.md in the ofakyle11/scotia repository.</t>
        </is>
      </c>
    </row>
    <row r="28">
      <c r="A28" s="11" t="inlineStr">
        <is>
          <t>Formulas cover Inspections rows 2 to 2000. If you exceed that, widen the ranges on Fleet Summary.</t>
        </is>
      </c>
    </row>
    <row r="29">
      <c r="A29" s="11" t="inlineStr">
        <is>
          <t>Columns Z onward feed the yard check report (tools/yardcheck): survey, vehicle type, axle role, config code, slot, valve cap and the fleet policy that applied.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58" customWidth="1" min="3" max="3"/>
  </cols>
  <sheetData>
    <row r="1">
      <c r="A1" s="3" t="inlineStr">
        <is>
          <t>Threshold settings</t>
        </is>
      </c>
    </row>
    <row r="3">
      <c r="A3" s="13" t="inlineStr">
        <is>
          <t>Setting</t>
        </is>
      </c>
      <c r="B3" s="13" t="inlineStr">
        <is>
          <t>Value (32nds)</t>
        </is>
      </c>
      <c r="C3" s="13" t="inlineStr">
        <is>
          <t>Note</t>
        </is>
      </c>
    </row>
    <row r="4">
      <c r="A4" s="8" t="inlineStr">
        <is>
          <t>Steer minimum</t>
        </is>
      </c>
      <c r="B4" s="6" t="n">
        <v>4</v>
      </c>
      <c r="C4" s="8" t="inlineStr">
        <is>
          <t>Legal minimum for steer axle (LF, RF)</t>
        </is>
      </c>
    </row>
    <row r="5">
      <c r="A5" s="8" t="inlineStr">
        <is>
          <t>Drive / trailer minimum</t>
        </is>
      </c>
      <c r="B5" s="6" t="n">
        <v>2</v>
      </c>
      <c r="C5" s="8" t="inlineStr">
        <is>
          <t>Legal minimum for every other position</t>
        </is>
      </c>
    </row>
    <row r="6">
      <c r="A6" s="8" t="inlineStr">
        <is>
          <t>Watch band above minimum</t>
        </is>
      </c>
      <c r="B6" s="6" t="n">
        <v>2</v>
      </c>
      <c r="C6" s="8" t="inlineStr">
        <is>
          <t>WATCH = within this many 32nds above the minimum</t>
        </is>
      </c>
    </row>
    <row r="8">
      <c r="A8" s="4" t="inlineStr">
        <is>
          <t>Yellow cells are inputs. The app applies its own copy of these thresholds when it writes the status column;</t>
        </is>
      </c>
    </row>
    <row r="9">
      <c r="A9" s="4" t="inlineStr">
        <is>
          <t>these values are here so the workbook documents what the status column means.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2026-09-17T14:11:27Z</dcterms:created>
  <dcterms:modified xsi:type="dcterms:W3CDTF">2026-09-17T14:11:27Z</dcterms:modified>
</cp:coreProperties>
</file>